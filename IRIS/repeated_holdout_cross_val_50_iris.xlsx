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1.xml" ContentType="application/vnd.openxmlformats-officedocument.drawing+xml"/>
  <Override PartName="/xl/tables/table9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esktop\Π.Μ.Σ Στατιστική-Χρηματοοικονομικά και Αναλογιστικά Μαθηματικά\ΜΑΘΗΜΑΤΑ 2ου Εξαμήνου\Εφαρμοσμένη Πολυμεταβλητή Ανάλυση και Big Data\Πτυχιακή\"/>
    </mc:Choice>
  </mc:AlternateContent>
  <xr:revisionPtr revIDLastSave="0" documentId="13_ncr:1_{AA43E106-7766-45E1-8624-CA6D25E7F31B}" xr6:coauthVersionLast="47" xr6:coauthVersionMax="47" xr10:uidLastSave="{00000000-0000-0000-0000-000000000000}"/>
  <bookViews>
    <workbookView xWindow="-108" yWindow="-108" windowWidth="23256" windowHeight="12456" firstSheet="1" activeTab="8" xr2:uid="{00000000-000D-0000-FFFF-FFFF00000000}"/>
  </bookViews>
  <sheets>
    <sheet name="Shannon" sheetId="1" r:id="rId1"/>
    <sheet name="Renyi" sheetId="2" r:id="rId2"/>
    <sheet name="Sharma_Mittal" sheetId="3" r:id="rId3"/>
    <sheet name="Tsallis" sheetId="4" r:id="rId4"/>
    <sheet name="Sharma_Taneja" sheetId="5" r:id="rId5"/>
    <sheet name="Kapur" sheetId="6" r:id="rId6"/>
    <sheet name="Kaniadakis" sheetId="7" r:id="rId7"/>
    <sheet name="index" sheetId="8" r:id="rId8"/>
    <sheet name="Summary" sheetId="9" r:id="rId9"/>
  </sheets>
  <definedNames>
    <definedName name="_xlchart.v1.0" hidden="1">Summary!$A$1</definedName>
    <definedName name="_xlchart.v1.1" hidden="1">Summary!$A$2:$A$52</definedName>
    <definedName name="_xlchart.v1.10" hidden="1">Summary!$F$1</definedName>
    <definedName name="_xlchart.v1.11" hidden="1">Summary!$F$2:$F$52</definedName>
    <definedName name="_xlchart.v1.12" hidden="1">Summary!$G$1</definedName>
    <definedName name="_xlchart.v1.13" hidden="1">Summary!$G$2:$G$52</definedName>
    <definedName name="_xlchart.v1.14" hidden="1">Summary!$A$1</definedName>
    <definedName name="_xlchart.v1.15" hidden="1">Summary!$A$2:$A$52</definedName>
    <definedName name="_xlchart.v1.16" hidden="1">Summary!$B$1</definedName>
    <definedName name="_xlchart.v1.17" hidden="1">Summary!$B$2:$B$52</definedName>
    <definedName name="_xlchart.v1.18" hidden="1">Summary!$C$1</definedName>
    <definedName name="_xlchart.v1.19" hidden="1">Summary!$C$2:$C$52</definedName>
    <definedName name="_xlchart.v1.2" hidden="1">Summary!$B$1</definedName>
    <definedName name="_xlchart.v1.20" hidden="1">Summary!$D$1</definedName>
    <definedName name="_xlchart.v1.21" hidden="1">Summary!$D$2:$D$52</definedName>
    <definedName name="_xlchart.v1.22" hidden="1">Summary!$E$1</definedName>
    <definedName name="_xlchart.v1.23" hidden="1">Summary!$E$2:$E$52</definedName>
    <definedName name="_xlchart.v1.24" hidden="1">Summary!$F$1</definedName>
    <definedName name="_xlchart.v1.25" hidden="1">Summary!$F$2:$F$52</definedName>
    <definedName name="_xlchart.v1.26" hidden="1">Summary!$G$1</definedName>
    <definedName name="_xlchart.v1.27" hidden="1">Summary!$G$2:$G$52</definedName>
    <definedName name="_xlchart.v1.3" hidden="1">Summary!$B$2:$B$52</definedName>
    <definedName name="_xlchart.v1.4" hidden="1">Summary!$C$1</definedName>
    <definedName name="_xlchart.v1.5" hidden="1">Summary!$C$2:$C$52</definedName>
    <definedName name="_xlchart.v1.6" hidden="1">Summary!$D$1</definedName>
    <definedName name="_xlchart.v1.7" hidden="1">Summary!$D$2:$D$52</definedName>
    <definedName name="_xlchart.v1.8" hidden="1">Summary!$E$1</definedName>
    <definedName name="_xlchart.v1.9" hidden="1">Summary!$E$2:$E$52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6" i="9" l="1"/>
  <c r="O26" i="9"/>
  <c r="N26" i="9"/>
  <c r="M26" i="9"/>
  <c r="L26" i="9"/>
  <c r="K26" i="9"/>
  <c r="J26" i="9"/>
  <c r="P25" i="9"/>
  <c r="O25" i="9"/>
  <c r="N25" i="9"/>
  <c r="M25" i="9"/>
  <c r="L25" i="9"/>
  <c r="K25" i="9"/>
  <c r="J25" i="9"/>
  <c r="P21" i="9"/>
  <c r="O21" i="9"/>
  <c r="N21" i="9"/>
  <c r="M21" i="9"/>
  <c r="L21" i="9"/>
  <c r="K21" i="9"/>
  <c r="J21" i="9"/>
  <c r="P20" i="9"/>
  <c r="O20" i="9"/>
  <c r="N20" i="9"/>
  <c r="M20" i="9"/>
  <c r="L20" i="9"/>
  <c r="K20" i="9"/>
  <c r="J20" i="9"/>
</calcChain>
</file>

<file path=xl/sharedStrings.xml><?xml version="1.0" encoding="utf-8"?>
<sst xmlns="http://schemas.openxmlformats.org/spreadsheetml/2006/main" count="107" uniqueCount="24">
  <si>
    <t>accuracy</t>
  </si>
  <si>
    <t>depth</t>
  </si>
  <si>
    <t>leaves</t>
  </si>
  <si>
    <t>recall_1</t>
  </si>
  <si>
    <t>recall_2</t>
  </si>
  <si>
    <t>recall_3</t>
  </si>
  <si>
    <t>f1_1</t>
  </si>
  <si>
    <t>f1_2</t>
  </si>
  <si>
    <t>f1_3</t>
  </si>
  <si>
    <t>entropy_parameter</t>
  </si>
  <si>
    <t>entropy_parameter_one</t>
  </si>
  <si>
    <t>entropy_parameter_two</t>
  </si>
  <si>
    <t>seed</t>
  </si>
  <si>
    <t>Shannon</t>
  </si>
  <si>
    <t>Renyi</t>
  </si>
  <si>
    <t>Sharma-Mittal</t>
  </si>
  <si>
    <t>Tsallis</t>
  </si>
  <si>
    <t>Sharma-Taneja</t>
  </si>
  <si>
    <t>Kapur</t>
  </si>
  <si>
    <t>Kaniadakis</t>
  </si>
  <si>
    <t>Depth</t>
  </si>
  <si>
    <t>Mean</t>
  </si>
  <si>
    <t>Sd</t>
  </si>
  <si>
    <t>Leaves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</si>
</sst>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charset val="161"/>
      <scheme val="minor"/>
    </font>
    <font>
      <b/>
      <sz val="11"/>
      <color rgb="FF000000"/>
      <name val="Calibri"/>
      <family val="2"/>
      <charset val="16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  <cx:data id="2">
      <cx:numDim type="val">
        <cx:f>_xlchart.v1.5</cx:f>
      </cx:numDim>
    </cx:data>
    <cx:data id="3">
      <cx:numDim type="val">
        <cx:f>_xlchart.v1.7</cx:f>
      </cx:numDim>
    </cx:data>
    <cx:data id="4">
      <cx:numDim type="val">
        <cx:f>_xlchart.v1.9</cx:f>
      </cx:numDim>
    </cx:data>
    <cx:data id="5">
      <cx:numDim type="val">
        <cx:f>_xlchart.v1.11</cx:f>
      </cx:numDim>
    </cx:data>
    <cx:data id="6">
      <cx:numDim type="val">
        <cx:f>_xlchart.v1.13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/>
              </a:rPr>
              <a:t>Accuracy</a:t>
            </a:r>
          </a:p>
          <a:p>
            <a:pPr algn="ctr" rtl="0">
              <a:defRPr/>
            </a:pP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rich>
      </cx:tx>
    </cx:title>
    <cx:plotArea>
      <cx:plotAreaRegion>
        <cx:series layoutId="boxWhisker" uniqueId="{4D2E836A-5BF4-48B4-81C0-DC4E8BE51E93}">
          <cx:tx>
            <cx:txData>
              <cx:f>_xlchart.v1.0</cx:f>
              <cx:v>Shannon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3BDF0721-D0AC-4184-B8D1-20935B592B21}">
          <cx:tx>
            <cx:txData>
              <cx:f>_xlchart.v1.2</cx:f>
              <cx:v>Renyi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BE8BAB57-3442-4CDE-90CD-CEFE63A906A1}">
          <cx:tx>
            <cx:txData>
              <cx:f>_xlchart.v1.4</cx:f>
              <cx:v>Sharma-Mittal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C18BEE5B-BD7E-4CA7-AEA5-B76CCB338D9F}">
          <cx:tx>
            <cx:txData>
              <cx:f>_xlchart.v1.6</cx:f>
              <cx:v>Tsallis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6706EEAA-A5ED-4605-8890-9DBCE65F66F7}">
          <cx:tx>
            <cx:txData>
              <cx:f>_xlchart.v1.8</cx:f>
              <cx:v>Sharma-Taneja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4D5CA6E4-85D4-4EEF-9499-92F88CE6EA26}">
          <cx:tx>
            <cx:txData>
              <cx:f>_xlchart.v1.10</cx:f>
              <cx:v>Kapur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  <cx:series layoutId="boxWhisker" uniqueId="{433263A1-9204-43FE-BB4C-2680D1D55851}">
          <cx:tx>
            <cx:txData>
              <cx:f>_xlchart.v1.12</cx:f>
              <cx:v>Kaniadakis</cx:v>
            </cx:txData>
          </cx:tx>
          <cx:dataId val="6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0"/>
        <cx:tickLabels/>
      </cx:axis>
      <cx:axis id="1">
        <cx:valScaling max="1"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213360</xdr:colOff>
      <xdr:row>0</xdr:row>
      <xdr:rowOff>87630</xdr:rowOff>
    </xdr:from>
    <xdr:to>
      <xdr:col>17</xdr:col>
      <xdr:colOff>297180</xdr:colOff>
      <xdr:row>15</xdr:row>
      <xdr:rowOff>87630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1131D9D-9F16-C0A8-3DF7-580D0E47FB7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86500" y="87630"/>
              <a:ext cx="557022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l-GR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68E274-CF67-4400-AC9C-454365A92021}" name="Table1" displayName="Table1" ref="A1:J52" totalsRowShown="0">
  <autoFilter ref="A1:J52" xr:uid="{8268E274-CF67-4400-AC9C-454365A92021}"/>
  <tableColumns count="10">
    <tableColumn id="1" xr3:uid="{D16DA311-ED6A-4213-B02C-41951AED5970}" name="accuracy"/>
    <tableColumn id="2" xr3:uid="{82141236-125D-4B2D-92ED-14D08CCED829}" name="depth"/>
    <tableColumn id="3" xr3:uid="{822131A2-7BAA-41B5-9B15-775FFBA5CB8B}" name="leaves"/>
    <tableColumn id="4" xr3:uid="{176D0FA8-93AD-4E96-9C80-BDA01673DE1F}" name="recall_1"/>
    <tableColumn id="5" xr3:uid="{93C57633-F7BC-4B51-AE2D-373187EA4F1A}" name="recall_2"/>
    <tableColumn id="6" xr3:uid="{F26463F1-3EC8-4072-845B-FD2B30A08852}" name="recall_3"/>
    <tableColumn id="7" xr3:uid="{C94A0E08-18FB-47AA-8F5C-CC6D85AD0864}" name="f1_1"/>
    <tableColumn id="8" xr3:uid="{5262576F-1DFF-420F-9131-16BD6D1FED17}" name="f1_2"/>
    <tableColumn id="9" xr3:uid="{3BE1E361-A68D-4747-A52A-AF53682895DD}" name="f1_3"/>
    <tableColumn id="10" xr3:uid="{5305532A-C829-4B85-B110-D4DC9C73ED52}" name="see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B677E2D-CEEF-4A24-BEA7-11B361A2650D}" name="Table2" displayName="Table2" ref="A1:K52" totalsRowShown="0">
  <autoFilter ref="A1:K52" xr:uid="{BB677E2D-CEEF-4A24-BEA7-11B361A2650D}"/>
  <tableColumns count="11">
    <tableColumn id="1" xr3:uid="{9C8751CC-E0FC-465F-8E7A-3BA663607A7A}" name="accuracy"/>
    <tableColumn id="2" xr3:uid="{FBCCB56D-0502-4997-8F0E-DCF3B8F7D240}" name="entropy_parameter"/>
    <tableColumn id="3" xr3:uid="{48446D28-0373-44C0-A22E-E7030B9B280E}" name="depth"/>
    <tableColumn id="4" xr3:uid="{D767CBD7-3F3B-46C3-839C-F64D8F6FE1BF}" name="leaves"/>
    <tableColumn id="5" xr3:uid="{4564802A-9C2C-41DF-A3F5-813D78CDE308}" name="recall_1"/>
    <tableColumn id="6" xr3:uid="{87FACDB8-3827-4D20-9818-004880224885}" name="recall_2"/>
    <tableColumn id="7" xr3:uid="{AC12DAAD-8357-4041-ADE6-D0A1418B3D9D}" name="recall_3"/>
    <tableColumn id="8" xr3:uid="{4C0779ED-D91C-4EF6-87E0-2F895D2D9C2D}" name="f1_1"/>
    <tableColumn id="9" xr3:uid="{A3028AB7-9F50-403D-BEEC-1DA1FEF7CC07}" name="f1_2"/>
    <tableColumn id="10" xr3:uid="{A7890FEF-8ACE-4246-BFE6-7F4B0EA20984}" name="f1_3"/>
    <tableColumn id="11" xr3:uid="{FA1CDDDB-0873-4346-8D45-20831CCF727F}" name="see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68BE448-39C3-459F-94AA-FF8912F9BF9D}" name="Table3" displayName="Table3" ref="A1:L52" totalsRowShown="0">
  <autoFilter ref="A1:L52" xr:uid="{468BE448-39C3-459F-94AA-FF8912F9BF9D}"/>
  <tableColumns count="12">
    <tableColumn id="1" xr3:uid="{2D7C5B64-30A4-40B4-A6B2-4F7BEA9B2629}" name="accuracy"/>
    <tableColumn id="2" xr3:uid="{C40CA002-88FC-43EF-8185-8B1B75323AE7}" name="entropy_parameter_one"/>
    <tableColumn id="3" xr3:uid="{742E2C35-92C0-469A-BA1D-5AEFB4B70969}" name="entropy_parameter_two"/>
    <tableColumn id="4" xr3:uid="{6628E130-A69E-4BB3-ADA7-6D60F6B9D1FC}" name="depth"/>
    <tableColumn id="5" xr3:uid="{4A37A3AA-2696-40D4-90BE-28216C1F968D}" name="leaves"/>
    <tableColumn id="6" xr3:uid="{53141884-D8D7-4B60-A111-F97F02F80410}" name="recall_1"/>
    <tableColumn id="7" xr3:uid="{4689A29E-9657-4032-8770-669F57476A92}" name="recall_2"/>
    <tableColumn id="8" xr3:uid="{74294DDF-0F01-4F8C-9AF5-9EB3B463AD66}" name="recall_3"/>
    <tableColumn id="9" xr3:uid="{30DCA8DF-A418-428C-B5E5-6237519E3310}" name="f1_1"/>
    <tableColumn id="10" xr3:uid="{4058135B-93FB-4C6D-8132-73607386D3D3}" name="f1_2"/>
    <tableColumn id="11" xr3:uid="{7D952319-EC78-43AC-874B-3E5172691CC4}" name="f1_3"/>
    <tableColumn id="12" xr3:uid="{87EC3C84-C8F3-4A5E-8C26-115388E400FC}" name="see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D937F86-9148-49EB-9BCC-D8C14EFE170D}" name="Table4" displayName="Table4" ref="A1:K52" totalsRowShown="0">
  <autoFilter ref="A1:K52" xr:uid="{CD937F86-9148-49EB-9BCC-D8C14EFE170D}"/>
  <tableColumns count="11">
    <tableColumn id="1" xr3:uid="{C7E3A82C-A88F-4B49-ABD2-ACF1035956ED}" name="accuracy"/>
    <tableColumn id="2" xr3:uid="{024B91FE-8BE6-44DC-8D23-A34EA76B4475}" name="entropy_parameter"/>
    <tableColumn id="3" xr3:uid="{76D3146F-5057-4CEC-A489-3EC3F0E192FA}" name="depth"/>
    <tableColumn id="4" xr3:uid="{4EC70E1B-2F81-42FB-ABF5-1047746198C5}" name="leaves"/>
    <tableColumn id="5" xr3:uid="{59D96C36-6330-4A77-987F-1CBA0D498648}" name="recall_1"/>
    <tableColumn id="6" xr3:uid="{A7952508-3404-4582-B05F-55BB3386EEDD}" name="recall_2"/>
    <tableColumn id="7" xr3:uid="{8CF66DD2-C76F-4854-B8AE-8AC0760682DD}" name="recall_3"/>
    <tableColumn id="8" xr3:uid="{E6DFD8D7-3AFC-40E5-8096-8F185FCFB29D}" name="f1_1"/>
    <tableColumn id="9" xr3:uid="{EF3ADD2D-CD5E-446F-83DA-9DA73EBCF8F1}" name="f1_2"/>
    <tableColumn id="10" xr3:uid="{0FF30E8F-9EC2-40D4-8F39-2801E82C785B}" name="f1_3"/>
    <tableColumn id="11" xr3:uid="{EFA6D8C1-7D7D-4282-BCE1-6E223091CBF6}" name="see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2E89464-A8FD-4A6F-9C8E-6EB30EB67ADA}" name="Table5" displayName="Table5" ref="A1:L52" totalsRowShown="0">
  <autoFilter ref="A1:L52" xr:uid="{62E89464-A8FD-4A6F-9C8E-6EB30EB67ADA}"/>
  <tableColumns count="12">
    <tableColumn id="1" xr3:uid="{3C8E5DCC-EE49-4CB1-9B69-9B502ADE358F}" name="accuracy"/>
    <tableColumn id="2" xr3:uid="{59330825-0958-4709-B1FE-0FADAFC1324E}" name="entropy_parameter_one"/>
    <tableColumn id="3" xr3:uid="{95AB4B39-69BE-47C1-AB1C-EA250F102C1E}" name="entropy_parameter_two"/>
    <tableColumn id="4" xr3:uid="{B3FE8893-7A12-4F57-92D9-0D0C11E43448}" name="depth"/>
    <tableColumn id="5" xr3:uid="{D292598E-D115-435D-921C-B78F26C68DE8}" name="leaves"/>
    <tableColumn id="6" xr3:uid="{674FA304-6A40-4F3C-852C-E2C3D09DCBDC}" name="recall_1"/>
    <tableColumn id="7" xr3:uid="{B6DE270A-A957-4018-86BD-EA846AFF28E8}" name="recall_2"/>
    <tableColumn id="8" xr3:uid="{965171DD-978C-4F8C-8046-E3707C3AC92A}" name="recall_3"/>
    <tableColumn id="9" xr3:uid="{737AADAE-EF48-4425-98AF-A3639DF54C60}" name="f1_1"/>
    <tableColumn id="10" xr3:uid="{44EE4667-1292-4314-B5C0-3562C9374627}" name="f1_2"/>
    <tableColumn id="11" xr3:uid="{AC23DB47-9593-4750-89C2-ADE91CA9FC42}" name="f1_3"/>
    <tableColumn id="12" xr3:uid="{DB021AD3-57E3-4A8A-802D-1DC359C68711}" name="see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379257D-C0C3-4D09-8B18-10813E265F74}" name="Table6" displayName="Table6" ref="A1:L52" totalsRowShown="0">
  <autoFilter ref="A1:L52" xr:uid="{D379257D-C0C3-4D09-8B18-10813E265F74}"/>
  <tableColumns count="12">
    <tableColumn id="1" xr3:uid="{05AF7985-ED16-4733-927F-6F41CDF2C7C7}" name="accuracy"/>
    <tableColumn id="2" xr3:uid="{7441892C-876D-422C-B81F-6CD1E0893052}" name="entropy_parameter_one"/>
    <tableColumn id="3" xr3:uid="{9121AC7E-23F2-4714-B2A9-1264F33F873F}" name="entropy_parameter_two"/>
    <tableColumn id="4" xr3:uid="{63BE3A5E-DEC4-4416-940E-13BDE7526A41}" name="depth"/>
    <tableColumn id="5" xr3:uid="{BA58F8B4-C400-4348-8EBE-4EC3481FA0AA}" name="leaves"/>
    <tableColumn id="6" xr3:uid="{53AF858A-A2EA-4360-8E6E-A07662805F59}" name="recall_1"/>
    <tableColumn id="7" xr3:uid="{8C5FFDE1-8BD4-4B14-9242-27E397F0B56C}" name="recall_2"/>
    <tableColumn id="8" xr3:uid="{8080A133-6DE7-445A-9870-17043A2272B0}" name="recall_3"/>
    <tableColumn id="9" xr3:uid="{AAF77E85-94D6-4F68-8501-25E3915F0772}" name="f1_1"/>
    <tableColumn id="10" xr3:uid="{B87C3DC6-1B1C-450A-9257-E35BD0915035}" name="f1_2"/>
    <tableColumn id="11" xr3:uid="{73F678BE-FCE5-49EB-8140-5E25A4A09DB8}" name="f1_3"/>
    <tableColumn id="12" xr3:uid="{A46788AC-F28B-4189-8F58-B87E73197B21}" name="seed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7381385-7120-466D-B995-C11613610958}" name="Table7" displayName="Table7" ref="A1:K52" totalsRowShown="0">
  <autoFilter ref="A1:K52" xr:uid="{87381385-7120-466D-B995-C11613610958}"/>
  <tableColumns count="11">
    <tableColumn id="1" xr3:uid="{EDEC0FC3-9CE4-4A45-AFEA-C85F6110E1C4}" name="accuracy"/>
    <tableColumn id="2" xr3:uid="{75ECD2BD-8B91-46DA-BDDA-E1D4B7A6B1AF}" name="entropy_parameter"/>
    <tableColumn id="3" xr3:uid="{4720BC29-6D71-4D2F-8A17-430E183AF8A7}" name="depth"/>
    <tableColumn id="4" xr3:uid="{2656953C-C550-4A88-96BC-434FF61C486B}" name="leaves"/>
    <tableColumn id="5" xr3:uid="{DF435DF7-BC8D-4077-A1B8-4D707C1F239A}" name="recall_1"/>
    <tableColumn id="6" xr3:uid="{014F78E9-D0DE-4780-8C61-9BB116F8EE7B}" name="recall_2"/>
    <tableColumn id="7" xr3:uid="{F2551C78-D495-475B-8118-A110FB88B322}" name="recall_3"/>
    <tableColumn id="8" xr3:uid="{31295C61-8071-41A4-AB2C-691E5BA89687}" name="f1_1"/>
    <tableColumn id="9" xr3:uid="{84AFBE50-02BE-41C6-9451-7EB118518C6C}" name="f1_2"/>
    <tableColumn id="10" xr3:uid="{DB2E69E3-5E39-4EAB-8442-5ED96B51E364}" name="f1_3"/>
    <tableColumn id="11" xr3:uid="{572B4990-7867-4366-935C-4707D39D1F06}" name="seed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09E5C3A-AF7C-49CD-B207-82AECC371315}" name="Table8" displayName="Table8" ref="A1:A52" totalsRowShown="0">
  <autoFilter ref="A1:A52" xr:uid="{109E5C3A-AF7C-49CD-B207-82AECC371315}"/>
  <tableColumns count="1">
    <tableColumn id="1" xr3:uid="{69407460-4A91-4C0E-8032-DA8C4E2684FD}" name="seed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03CDAE0-18C6-4810-AAC1-1B3C93F9BE37}" name="Table9" displayName="Table9" ref="A1:G52" totalsRowShown="0">
  <autoFilter ref="A1:G52" xr:uid="{D03CDAE0-18C6-4810-AAC1-1B3C93F9BE37}"/>
  <tableColumns count="7">
    <tableColumn id="1" xr3:uid="{5FA73755-EC1C-47CA-8718-447A9EF727FF}" name="Shannon"/>
    <tableColumn id="2" xr3:uid="{110FD470-4447-4600-A47E-30F770D780DC}" name="Renyi"/>
    <tableColumn id="3" xr3:uid="{56B2F69F-B761-4DAB-B253-8C52E7473D2D}" name="Sharma-Mittal"/>
    <tableColumn id="4" xr3:uid="{F746AEEE-7570-4B08-B3F9-54835CDB5ECA}" name="Tsallis"/>
    <tableColumn id="5" xr3:uid="{BB76D1B6-80E2-49C0-AE0F-2990BF9928C9}" name="Sharma-Taneja"/>
    <tableColumn id="6" xr3:uid="{31B720D8-A109-4F21-8B4F-9873FB65F857}" name="Kapur"/>
    <tableColumn id="7" xr3:uid="{9CF85161-7533-4960-A020-134F018D8F66}" name="Kaniadaki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2"/>
  <sheetViews>
    <sheetView topLeftCell="A26" workbookViewId="0">
      <selection sqref="A1:A1048576"/>
    </sheetView>
  </sheetViews>
  <sheetFormatPr defaultColWidth="11.5546875"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12</v>
      </c>
    </row>
    <row r="2" spans="1:10" x14ac:dyDescent="0.3">
      <c r="A2">
        <v>0.97777777777777797</v>
      </c>
      <c r="B2">
        <v>3</v>
      </c>
      <c r="C2">
        <v>4</v>
      </c>
      <c r="D2">
        <v>1</v>
      </c>
      <c r="E2">
        <v>0.93333333333333302</v>
      </c>
      <c r="F2">
        <v>1</v>
      </c>
      <c r="G2">
        <v>1</v>
      </c>
      <c r="H2">
        <v>0.96551724137931005</v>
      </c>
      <c r="I2">
        <v>0.967741935483871</v>
      </c>
      <c r="J2">
        <v>919</v>
      </c>
    </row>
    <row r="3" spans="1:10" x14ac:dyDescent="0.3">
      <c r="A3">
        <v>0.97777777777777797</v>
      </c>
      <c r="B3">
        <v>3</v>
      </c>
      <c r="C3">
        <v>4</v>
      </c>
      <c r="D3">
        <v>1</v>
      </c>
      <c r="E3">
        <v>0.93333333333333302</v>
      </c>
      <c r="F3">
        <v>1</v>
      </c>
      <c r="G3">
        <v>1</v>
      </c>
      <c r="H3">
        <v>0.96551724137931005</v>
      </c>
      <c r="I3">
        <v>0.967741935483871</v>
      </c>
      <c r="J3">
        <v>917</v>
      </c>
    </row>
    <row r="4" spans="1:10" x14ac:dyDescent="0.3">
      <c r="A4">
        <v>0.97777777777777797</v>
      </c>
      <c r="B4">
        <v>4</v>
      </c>
      <c r="C4">
        <v>6</v>
      </c>
      <c r="D4">
        <v>1</v>
      </c>
      <c r="E4">
        <v>0.93333333333333302</v>
      </c>
      <c r="F4">
        <v>1</v>
      </c>
      <c r="G4">
        <v>1</v>
      </c>
      <c r="H4">
        <v>0.96551724137931005</v>
      </c>
      <c r="I4">
        <v>0.967741935483871</v>
      </c>
      <c r="J4">
        <v>359</v>
      </c>
    </row>
    <row r="5" spans="1:10" x14ac:dyDescent="0.3">
      <c r="A5">
        <v>0.97777777777777797</v>
      </c>
      <c r="B5">
        <v>4</v>
      </c>
      <c r="C5">
        <v>5</v>
      </c>
      <c r="D5">
        <v>1</v>
      </c>
      <c r="E5">
        <v>1</v>
      </c>
      <c r="F5">
        <v>0.93333333333333302</v>
      </c>
      <c r="G5">
        <v>1</v>
      </c>
      <c r="H5">
        <v>0.967741935483871</v>
      </c>
      <c r="I5">
        <v>0.96551724137931005</v>
      </c>
      <c r="J5">
        <v>575</v>
      </c>
    </row>
    <row r="6" spans="1:10" x14ac:dyDescent="0.3">
      <c r="A6">
        <v>0.91111111111111098</v>
      </c>
      <c r="B6">
        <v>4</v>
      </c>
      <c r="C6">
        <v>5</v>
      </c>
      <c r="D6">
        <v>1</v>
      </c>
      <c r="E6">
        <v>0.73333333333333295</v>
      </c>
      <c r="F6">
        <v>1</v>
      </c>
      <c r="G6">
        <v>1</v>
      </c>
      <c r="H6">
        <v>0.84615384615384603</v>
      </c>
      <c r="I6">
        <v>0.88235294117647101</v>
      </c>
      <c r="J6">
        <v>247</v>
      </c>
    </row>
    <row r="7" spans="1:10" x14ac:dyDescent="0.3">
      <c r="A7">
        <v>0.93333333333333302</v>
      </c>
      <c r="B7">
        <v>3</v>
      </c>
      <c r="C7">
        <v>4</v>
      </c>
      <c r="D7">
        <v>1</v>
      </c>
      <c r="E7">
        <v>0.93333333333333302</v>
      </c>
      <c r="F7">
        <v>0.86666666666666703</v>
      </c>
      <c r="G7">
        <v>1</v>
      </c>
      <c r="H7">
        <v>0.90322580645161299</v>
      </c>
      <c r="I7">
        <v>0.89655172413793105</v>
      </c>
      <c r="J7">
        <v>215</v>
      </c>
    </row>
    <row r="8" spans="1:10" x14ac:dyDescent="0.3">
      <c r="A8">
        <v>0.97777777777777797</v>
      </c>
      <c r="B8">
        <v>3</v>
      </c>
      <c r="C8">
        <v>4</v>
      </c>
      <c r="D8">
        <v>1</v>
      </c>
      <c r="E8">
        <v>0.93333333333333302</v>
      </c>
      <c r="F8">
        <v>1</v>
      </c>
      <c r="G8">
        <v>1</v>
      </c>
      <c r="H8">
        <v>0.96551724137931005</v>
      </c>
      <c r="I8">
        <v>0.967741935483871</v>
      </c>
      <c r="J8">
        <v>926</v>
      </c>
    </row>
    <row r="9" spans="1:10" x14ac:dyDescent="0.3">
      <c r="A9">
        <v>0.93333333333333302</v>
      </c>
      <c r="B9">
        <v>5</v>
      </c>
      <c r="C9">
        <v>6</v>
      </c>
      <c r="D9">
        <v>1</v>
      </c>
      <c r="E9">
        <v>0.86666666666666703</v>
      </c>
      <c r="F9">
        <v>0.93333333333333302</v>
      </c>
      <c r="G9">
        <v>1</v>
      </c>
      <c r="H9">
        <v>0.89655172413793105</v>
      </c>
      <c r="I9">
        <v>0.90322580645161299</v>
      </c>
      <c r="J9">
        <v>756</v>
      </c>
    </row>
    <row r="10" spans="1:10" x14ac:dyDescent="0.3">
      <c r="A10">
        <v>0.91111111111111098</v>
      </c>
      <c r="B10">
        <v>4</v>
      </c>
      <c r="C10">
        <v>5</v>
      </c>
      <c r="D10">
        <v>1</v>
      </c>
      <c r="E10">
        <v>0.93333333333333302</v>
      </c>
      <c r="F10">
        <v>0.8</v>
      </c>
      <c r="G10">
        <v>1</v>
      </c>
      <c r="H10">
        <v>0.875</v>
      </c>
      <c r="I10">
        <v>0.85714285714285698</v>
      </c>
      <c r="J10">
        <v>781</v>
      </c>
    </row>
    <row r="11" spans="1:10" x14ac:dyDescent="0.3">
      <c r="A11">
        <v>0.93333333333333302</v>
      </c>
      <c r="B11">
        <v>4</v>
      </c>
      <c r="C11">
        <v>5</v>
      </c>
      <c r="D11">
        <v>1</v>
      </c>
      <c r="E11">
        <v>0.93333333333333302</v>
      </c>
      <c r="F11">
        <v>0.86666666666666703</v>
      </c>
      <c r="G11">
        <v>1</v>
      </c>
      <c r="H11">
        <v>0.90322580645161299</v>
      </c>
      <c r="I11">
        <v>0.89655172413793105</v>
      </c>
      <c r="J11">
        <v>467</v>
      </c>
    </row>
    <row r="12" spans="1:10" x14ac:dyDescent="0.3">
      <c r="A12">
        <v>0.97777777777777797</v>
      </c>
      <c r="B12">
        <v>5</v>
      </c>
      <c r="C12">
        <v>6</v>
      </c>
      <c r="D12">
        <v>1</v>
      </c>
      <c r="E12">
        <v>0.93333333333333302</v>
      </c>
      <c r="F12">
        <v>1</v>
      </c>
      <c r="G12">
        <v>1</v>
      </c>
      <c r="H12">
        <v>0.96551724137931005</v>
      </c>
      <c r="I12">
        <v>0.967741935483871</v>
      </c>
      <c r="J12">
        <v>122</v>
      </c>
    </row>
    <row r="13" spans="1:10" x14ac:dyDescent="0.3">
      <c r="A13">
        <v>0.93333333333333302</v>
      </c>
      <c r="B13">
        <v>4</v>
      </c>
      <c r="C13">
        <v>5</v>
      </c>
      <c r="D13">
        <v>1</v>
      </c>
      <c r="E13">
        <v>0.93333333333333302</v>
      </c>
      <c r="F13">
        <v>0.86666666666666703</v>
      </c>
      <c r="G13">
        <v>1</v>
      </c>
      <c r="H13">
        <v>0.90322580645161299</v>
      </c>
      <c r="I13">
        <v>0.89655172413793105</v>
      </c>
      <c r="J13">
        <v>851</v>
      </c>
    </row>
    <row r="14" spans="1:10" x14ac:dyDescent="0.3">
      <c r="A14">
        <v>0.95555555555555605</v>
      </c>
      <c r="B14">
        <v>3</v>
      </c>
      <c r="C14">
        <v>4</v>
      </c>
      <c r="D14">
        <v>1</v>
      </c>
      <c r="E14">
        <v>0.86666666666666703</v>
      </c>
      <c r="F14">
        <v>1</v>
      </c>
      <c r="G14">
        <v>1</v>
      </c>
      <c r="H14">
        <v>0.92857142857142905</v>
      </c>
      <c r="I14">
        <v>0.9375</v>
      </c>
      <c r="J14">
        <v>217</v>
      </c>
    </row>
    <row r="15" spans="1:10" x14ac:dyDescent="0.3">
      <c r="A15">
        <v>0.91111111111111098</v>
      </c>
      <c r="B15">
        <v>4</v>
      </c>
      <c r="C15">
        <v>5</v>
      </c>
      <c r="D15">
        <v>1</v>
      </c>
      <c r="E15">
        <v>0.86666666666666703</v>
      </c>
      <c r="F15">
        <v>0.86666666666666703</v>
      </c>
      <c r="G15">
        <v>1</v>
      </c>
      <c r="H15">
        <v>0.86666666666666703</v>
      </c>
      <c r="I15">
        <v>0.86666666666666703</v>
      </c>
      <c r="J15">
        <v>573</v>
      </c>
    </row>
    <row r="16" spans="1:10" x14ac:dyDescent="0.3">
      <c r="A16">
        <v>1</v>
      </c>
      <c r="B16">
        <v>4</v>
      </c>
      <c r="C16">
        <v>6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599</v>
      </c>
    </row>
    <row r="17" spans="1:10" x14ac:dyDescent="0.3">
      <c r="A17">
        <v>0.93333333333333302</v>
      </c>
      <c r="B17">
        <v>3</v>
      </c>
      <c r="C17">
        <v>4</v>
      </c>
      <c r="D17">
        <v>1</v>
      </c>
      <c r="E17">
        <v>0.8</v>
      </c>
      <c r="F17">
        <v>1</v>
      </c>
      <c r="G17">
        <v>1</v>
      </c>
      <c r="H17">
        <v>0.88888888888888895</v>
      </c>
      <c r="I17">
        <v>0.90909090909090895</v>
      </c>
      <c r="J17">
        <v>533</v>
      </c>
    </row>
    <row r="18" spans="1:10" x14ac:dyDescent="0.3">
      <c r="A18">
        <v>0.91111111111111098</v>
      </c>
      <c r="B18">
        <v>4</v>
      </c>
      <c r="C18">
        <v>5</v>
      </c>
      <c r="D18">
        <v>1</v>
      </c>
      <c r="E18">
        <v>1</v>
      </c>
      <c r="F18">
        <v>0.73333333333333295</v>
      </c>
      <c r="G18">
        <v>1</v>
      </c>
      <c r="H18">
        <v>0.88235294117647101</v>
      </c>
      <c r="I18">
        <v>0.84615384615384603</v>
      </c>
      <c r="J18">
        <v>631</v>
      </c>
    </row>
    <row r="19" spans="1:10" x14ac:dyDescent="0.3">
      <c r="A19">
        <v>0.91111111111111098</v>
      </c>
      <c r="B19">
        <v>5</v>
      </c>
      <c r="C19">
        <v>7</v>
      </c>
      <c r="D19">
        <v>1</v>
      </c>
      <c r="E19">
        <v>0.86666666666666703</v>
      </c>
      <c r="F19">
        <v>0.86666666666666703</v>
      </c>
      <c r="G19">
        <v>1</v>
      </c>
      <c r="H19">
        <v>0.86666666666666703</v>
      </c>
      <c r="I19">
        <v>0.86666666666666703</v>
      </c>
      <c r="J19">
        <v>516</v>
      </c>
    </row>
    <row r="20" spans="1:10" x14ac:dyDescent="0.3">
      <c r="A20">
        <v>0.97777777777777797</v>
      </c>
      <c r="B20">
        <v>5</v>
      </c>
      <c r="C20">
        <v>6</v>
      </c>
      <c r="D20">
        <v>1</v>
      </c>
      <c r="E20">
        <v>1</v>
      </c>
      <c r="F20">
        <v>0.93333333333333302</v>
      </c>
      <c r="G20">
        <v>1</v>
      </c>
      <c r="H20">
        <v>0.967741935483871</v>
      </c>
      <c r="I20">
        <v>0.96551724137931005</v>
      </c>
      <c r="J20">
        <v>686</v>
      </c>
    </row>
    <row r="21" spans="1:10" x14ac:dyDescent="0.3">
      <c r="A21">
        <v>1</v>
      </c>
      <c r="B21">
        <v>4</v>
      </c>
      <c r="C21">
        <v>6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94</v>
      </c>
    </row>
    <row r="22" spans="1:10" x14ac:dyDescent="0.3">
      <c r="A22">
        <v>0.95555555555555605</v>
      </c>
      <c r="B22">
        <v>3</v>
      </c>
      <c r="C22">
        <v>4</v>
      </c>
      <c r="D22">
        <v>1</v>
      </c>
      <c r="E22">
        <v>0.86666666666666703</v>
      </c>
      <c r="F22">
        <v>1</v>
      </c>
      <c r="G22">
        <v>1</v>
      </c>
      <c r="H22">
        <v>0.92857142857142905</v>
      </c>
      <c r="I22">
        <v>0.9375</v>
      </c>
      <c r="J22">
        <v>154</v>
      </c>
    </row>
    <row r="23" spans="1:10" x14ac:dyDescent="0.3">
      <c r="A23">
        <v>0.93333333333333302</v>
      </c>
      <c r="B23">
        <v>4</v>
      </c>
      <c r="C23">
        <v>6</v>
      </c>
      <c r="D23">
        <v>1</v>
      </c>
      <c r="E23">
        <v>1</v>
      </c>
      <c r="F23">
        <v>0.8</v>
      </c>
      <c r="G23">
        <v>1</v>
      </c>
      <c r="H23">
        <v>0.90909090909090895</v>
      </c>
      <c r="I23">
        <v>0.88888888888888895</v>
      </c>
      <c r="J23">
        <v>937</v>
      </c>
    </row>
    <row r="24" spans="1:10" x14ac:dyDescent="0.3">
      <c r="A24">
        <v>0.97777777777777797</v>
      </c>
      <c r="B24">
        <v>5</v>
      </c>
      <c r="C24">
        <v>6</v>
      </c>
      <c r="D24">
        <v>1</v>
      </c>
      <c r="E24">
        <v>1</v>
      </c>
      <c r="F24">
        <v>0.93333333333333302</v>
      </c>
      <c r="G24">
        <v>1</v>
      </c>
      <c r="H24">
        <v>0.967741935483871</v>
      </c>
      <c r="I24">
        <v>0.96551724137931005</v>
      </c>
      <c r="J24">
        <v>375</v>
      </c>
    </row>
    <row r="25" spans="1:10" x14ac:dyDescent="0.3">
      <c r="A25">
        <v>0.93333333333333302</v>
      </c>
      <c r="B25">
        <v>4</v>
      </c>
      <c r="C25">
        <v>5</v>
      </c>
      <c r="D25">
        <v>1</v>
      </c>
      <c r="E25">
        <v>0.93333333333333302</v>
      </c>
      <c r="F25">
        <v>0.86666666666666703</v>
      </c>
      <c r="G25">
        <v>1</v>
      </c>
      <c r="H25">
        <v>0.90322580645161299</v>
      </c>
      <c r="I25">
        <v>0.89655172413793105</v>
      </c>
      <c r="J25">
        <v>311</v>
      </c>
    </row>
    <row r="26" spans="1:10" x14ac:dyDescent="0.3">
      <c r="A26">
        <v>0.91111111111111098</v>
      </c>
      <c r="B26">
        <v>3</v>
      </c>
      <c r="C26">
        <v>4</v>
      </c>
      <c r="D26">
        <v>1</v>
      </c>
      <c r="E26">
        <v>0.73333333333333295</v>
      </c>
      <c r="F26">
        <v>1</v>
      </c>
      <c r="G26">
        <v>1</v>
      </c>
      <c r="H26">
        <v>0.84615384615384603</v>
      </c>
      <c r="I26">
        <v>0.88235294117647101</v>
      </c>
      <c r="J26">
        <v>793</v>
      </c>
    </row>
    <row r="27" spans="1:10" x14ac:dyDescent="0.3">
      <c r="A27">
        <v>0.93333333333333302</v>
      </c>
      <c r="B27">
        <v>4</v>
      </c>
      <c r="C27">
        <v>5</v>
      </c>
      <c r="D27">
        <v>1</v>
      </c>
      <c r="E27">
        <v>0.86666666666666703</v>
      </c>
      <c r="F27">
        <v>0.93333333333333302</v>
      </c>
      <c r="G27">
        <v>1</v>
      </c>
      <c r="H27">
        <v>0.89655172413793105</v>
      </c>
      <c r="I27">
        <v>0.90322580645161299</v>
      </c>
      <c r="J27">
        <v>769</v>
      </c>
    </row>
    <row r="28" spans="1:10" x14ac:dyDescent="0.3">
      <c r="A28">
        <v>0.91111111111111098</v>
      </c>
      <c r="B28">
        <v>4</v>
      </c>
      <c r="C28">
        <v>6</v>
      </c>
      <c r="D28">
        <v>0.86666666666666703</v>
      </c>
      <c r="E28">
        <v>0.86666666666666703</v>
      </c>
      <c r="F28">
        <v>1</v>
      </c>
      <c r="G28">
        <v>0.92857142857142905</v>
      </c>
      <c r="H28">
        <v>0.86666666666666703</v>
      </c>
      <c r="I28">
        <v>0.9375</v>
      </c>
      <c r="J28">
        <v>433</v>
      </c>
    </row>
    <row r="29" spans="1:10" x14ac:dyDescent="0.3">
      <c r="A29">
        <v>0.93333333333333302</v>
      </c>
      <c r="B29">
        <v>4</v>
      </c>
      <c r="C29">
        <v>5</v>
      </c>
      <c r="D29">
        <v>1</v>
      </c>
      <c r="E29">
        <v>0.93333333333333302</v>
      </c>
      <c r="F29">
        <v>0.86666666666666703</v>
      </c>
      <c r="G29">
        <v>1</v>
      </c>
      <c r="H29">
        <v>0.90322580645161299</v>
      </c>
      <c r="I29">
        <v>0.89655172413793105</v>
      </c>
      <c r="J29">
        <v>636</v>
      </c>
    </row>
    <row r="30" spans="1:10" x14ac:dyDescent="0.3">
      <c r="A30">
        <v>0.97777777777777797</v>
      </c>
      <c r="B30">
        <v>4</v>
      </c>
      <c r="C30">
        <v>5</v>
      </c>
      <c r="D30">
        <v>1</v>
      </c>
      <c r="E30">
        <v>1</v>
      </c>
      <c r="F30">
        <v>0.93333333333333302</v>
      </c>
      <c r="G30">
        <v>1</v>
      </c>
      <c r="H30">
        <v>0.967741935483871</v>
      </c>
      <c r="I30">
        <v>0.96551724137931005</v>
      </c>
      <c r="J30">
        <v>695</v>
      </c>
    </row>
    <row r="31" spans="1:10" x14ac:dyDescent="0.3">
      <c r="A31">
        <v>0.88888888888888895</v>
      </c>
      <c r="B31">
        <v>3</v>
      </c>
      <c r="C31">
        <v>4</v>
      </c>
      <c r="D31">
        <v>1</v>
      </c>
      <c r="E31">
        <v>0.86666666666666703</v>
      </c>
      <c r="F31">
        <v>0.8</v>
      </c>
      <c r="G31">
        <v>1</v>
      </c>
      <c r="H31">
        <v>0.83870967741935498</v>
      </c>
      <c r="I31">
        <v>0.82758620689655205</v>
      </c>
      <c r="J31">
        <v>525</v>
      </c>
    </row>
    <row r="32" spans="1:10" x14ac:dyDescent="0.3">
      <c r="A32">
        <v>0.95555555555555605</v>
      </c>
      <c r="B32">
        <v>4</v>
      </c>
      <c r="C32">
        <v>5</v>
      </c>
      <c r="D32">
        <v>1</v>
      </c>
      <c r="E32">
        <v>0.93333333333333302</v>
      </c>
      <c r="F32">
        <v>0.93333333333333302</v>
      </c>
      <c r="G32">
        <v>1</v>
      </c>
      <c r="H32">
        <v>0.93333333333333302</v>
      </c>
      <c r="I32">
        <v>0.93333333333333302</v>
      </c>
      <c r="J32">
        <v>177</v>
      </c>
    </row>
    <row r="33" spans="1:10" x14ac:dyDescent="0.3">
      <c r="A33">
        <v>0.97777777777777797</v>
      </c>
      <c r="B33">
        <v>5</v>
      </c>
      <c r="C33">
        <v>6</v>
      </c>
      <c r="D33">
        <v>1</v>
      </c>
      <c r="E33">
        <v>0.93333333333333302</v>
      </c>
      <c r="F33">
        <v>1</v>
      </c>
      <c r="G33">
        <v>1</v>
      </c>
      <c r="H33">
        <v>0.96551724137931005</v>
      </c>
      <c r="I33">
        <v>0.967741935483871</v>
      </c>
      <c r="J33">
        <v>625</v>
      </c>
    </row>
    <row r="34" spans="1:10" x14ac:dyDescent="0.3">
      <c r="A34">
        <v>0.91111111111111098</v>
      </c>
      <c r="B34">
        <v>4</v>
      </c>
      <c r="C34">
        <v>5</v>
      </c>
      <c r="D34">
        <v>0.86666666666666703</v>
      </c>
      <c r="E34">
        <v>0.93333333333333302</v>
      </c>
      <c r="F34">
        <v>0.93333333333333302</v>
      </c>
      <c r="G34">
        <v>0.92857142857142905</v>
      </c>
      <c r="H34">
        <v>0.875</v>
      </c>
      <c r="I34">
        <v>0.93333333333333302</v>
      </c>
      <c r="J34">
        <v>417</v>
      </c>
    </row>
    <row r="35" spans="1:10" x14ac:dyDescent="0.3">
      <c r="A35">
        <v>0.97777777777777797</v>
      </c>
      <c r="B35">
        <v>3</v>
      </c>
      <c r="C35">
        <v>4</v>
      </c>
      <c r="D35">
        <v>1</v>
      </c>
      <c r="E35">
        <v>0.93333333333333302</v>
      </c>
      <c r="F35">
        <v>1</v>
      </c>
      <c r="G35">
        <v>1</v>
      </c>
      <c r="H35">
        <v>0.96551724137931005</v>
      </c>
      <c r="I35">
        <v>0.967741935483871</v>
      </c>
      <c r="J35">
        <v>541</v>
      </c>
    </row>
    <row r="36" spans="1:10" x14ac:dyDescent="0.3">
      <c r="A36">
        <v>0.88888888888888895</v>
      </c>
      <c r="B36">
        <v>3</v>
      </c>
      <c r="C36">
        <v>4</v>
      </c>
      <c r="D36">
        <v>1</v>
      </c>
      <c r="E36">
        <v>0.93333333333333302</v>
      </c>
      <c r="F36">
        <v>0.73333333333333295</v>
      </c>
      <c r="G36">
        <v>1</v>
      </c>
      <c r="H36">
        <v>0.84848484848484895</v>
      </c>
      <c r="I36">
        <v>0.81481481481481499</v>
      </c>
      <c r="J36">
        <v>592</v>
      </c>
    </row>
    <row r="37" spans="1:10" x14ac:dyDescent="0.3">
      <c r="A37">
        <v>0.95555555555555605</v>
      </c>
      <c r="B37">
        <v>3</v>
      </c>
      <c r="C37">
        <v>4</v>
      </c>
      <c r="D37">
        <v>1</v>
      </c>
      <c r="E37">
        <v>0.93333333333333302</v>
      </c>
      <c r="F37">
        <v>0.93333333333333302</v>
      </c>
      <c r="G37">
        <v>1</v>
      </c>
      <c r="H37">
        <v>0.93333333333333302</v>
      </c>
      <c r="I37">
        <v>0.93333333333333302</v>
      </c>
      <c r="J37">
        <v>289</v>
      </c>
    </row>
    <row r="38" spans="1:10" x14ac:dyDescent="0.3">
      <c r="A38">
        <v>0.88888888888888895</v>
      </c>
      <c r="B38">
        <v>4</v>
      </c>
      <c r="C38">
        <v>6</v>
      </c>
      <c r="D38">
        <v>1</v>
      </c>
      <c r="E38">
        <v>0.86666666666666703</v>
      </c>
      <c r="F38">
        <v>0.8</v>
      </c>
      <c r="G38">
        <v>1</v>
      </c>
      <c r="H38">
        <v>0.83870967741935498</v>
      </c>
      <c r="I38">
        <v>0.82758620689655205</v>
      </c>
      <c r="J38">
        <v>233</v>
      </c>
    </row>
    <row r="39" spans="1:10" x14ac:dyDescent="0.3">
      <c r="A39">
        <v>0.97777777777777797</v>
      </c>
      <c r="B39">
        <v>4</v>
      </c>
      <c r="C39">
        <v>6</v>
      </c>
      <c r="D39">
        <v>1</v>
      </c>
      <c r="E39">
        <v>0.93333333333333302</v>
      </c>
      <c r="F39">
        <v>1</v>
      </c>
      <c r="G39">
        <v>1</v>
      </c>
      <c r="H39">
        <v>0.96551724137931005</v>
      </c>
      <c r="I39">
        <v>0.967741935483871</v>
      </c>
      <c r="J39">
        <v>472</v>
      </c>
    </row>
    <row r="40" spans="1:10" x14ac:dyDescent="0.3">
      <c r="A40">
        <v>0.91111111111111098</v>
      </c>
      <c r="B40">
        <v>4</v>
      </c>
      <c r="C40">
        <v>5</v>
      </c>
      <c r="D40">
        <v>1</v>
      </c>
      <c r="E40">
        <v>0.93333333333333302</v>
      </c>
      <c r="F40">
        <v>0.8</v>
      </c>
      <c r="G40">
        <v>1</v>
      </c>
      <c r="H40">
        <v>0.875</v>
      </c>
      <c r="I40">
        <v>0.85714285714285698</v>
      </c>
      <c r="J40">
        <v>219</v>
      </c>
    </row>
    <row r="41" spans="1:10" x14ac:dyDescent="0.3">
      <c r="A41">
        <v>0.95555555555555605</v>
      </c>
      <c r="B41">
        <v>3</v>
      </c>
      <c r="C41">
        <v>4</v>
      </c>
      <c r="D41">
        <v>1</v>
      </c>
      <c r="E41">
        <v>0.86666666666666703</v>
      </c>
      <c r="F41">
        <v>1</v>
      </c>
      <c r="G41">
        <v>1</v>
      </c>
      <c r="H41">
        <v>0.92857142857142905</v>
      </c>
      <c r="I41">
        <v>0.9375</v>
      </c>
      <c r="J41">
        <v>946</v>
      </c>
    </row>
    <row r="42" spans="1:10" x14ac:dyDescent="0.3">
      <c r="A42">
        <v>0.91111111111111098</v>
      </c>
      <c r="B42">
        <v>4</v>
      </c>
      <c r="C42">
        <v>5</v>
      </c>
      <c r="D42">
        <v>1</v>
      </c>
      <c r="E42">
        <v>0.8</v>
      </c>
      <c r="F42">
        <v>0.93333333333333302</v>
      </c>
      <c r="G42">
        <v>1</v>
      </c>
      <c r="H42">
        <v>0.85714285714285698</v>
      </c>
      <c r="I42">
        <v>0.875</v>
      </c>
      <c r="J42">
        <v>165</v>
      </c>
    </row>
    <row r="43" spans="1:10" x14ac:dyDescent="0.3">
      <c r="A43">
        <v>0.93333333333333302</v>
      </c>
      <c r="B43">
        <v>4</v>
      </c>
      <c r="C43">
        <v>6</v>
      </c>
      <c r="D43">
        <v>1</v>
      </c>
      <c r="E43">
        <v>1</v>
      </c>
      <c r="F43">
        <v>0.8</v>
      </c>
      <c r="G43">
        <v>1</v>
      </c>
      <c r="H43">
        <v>0.90909090909090895</v>
      </c>
      <c r="I43">
        <v>0.88888888888888895</v>
      </c>
      <c r="J43">
        <v>683</v>
      </c>
    </row>
    <row r="44" spans="1:10" x14ac:dyDescent="0.3">
      <c r="A44">
        <v>0.95555555555555605</v>
      </c>
      <c r="B44">
        <v>3</v>
      </c>
      <c r="C44">
        <v>4</v>
      </c>
      <c r="D44">
        <v>1</v>
      </c>
      <c r="E44">
        <v>0.86666666666666703</v>
      </c>
      <c r="F44">
        <v>1</v>
      </c>
      <c r="G44">
        <v>1</v>
      </c>
      <c r="H44">
        <v>0.92857142857142905</v>
      </c>
      <c r="I44">
        <v>0.9375</v>
      </c>
      <c r="J44">
        <v>527</v>
      </c>
    </row>
    <row r="45" spans="1:10" x14ac:dyDescent="0.3">
      <c r="A45">
        <v>0.97777777777777797</v>
      </c>
      <c r="B45">
        <v>4</v>
      </c>
      <c r="C45">
        <v>7</v>
      </c>
      <c r="D45">
        <v>1</v>
      </c>
      <c r="E45">
        <v>1</v>
      </c>
      <c r="F45">
        <v>0.93333333333333302</v>
      </c>
      <c r="G45">
        <v>1</v>
      </c>
      <c r="H45">
        <v>0.967741935483871</v>
      </c>
      <c r="I45">
        <v>0.96551724137931005</v>
      </c>
      <c r="J45">
        <v>576</v>
      </c>
    </row>
    <row r="46" spans="1:10" x14ac:dyDescent="0.3">
      <c r="A46">
        <v>0.97777777777777797</v>
      </c>
      <c r="B46">
        <v>4</v>
      </c>
      <c r="C46">
        <v>5</v>
      </c>
      <c r="D46">
        <v>1</v>
      </c>
      <c r="E46">
        <v>1</v>
      </c>
      <c r="F46">
        <v>0.93333333333333302</v>
      </c>
      <c r="G46">
        <v>1</v>
      </c>
      <c r="H46">
        <v>0.967741935483871</v>
      </c>
      <c r="I46">
        <v>0.96551724137931005</v>
      </c>
      <c r="J46">
        <v>460</v>
      </c>
    </row>
    <row r="47" spans="1:10" x14ac:dyDescent="0.3">
      <c r="A47">
        <v>0.95555555555555605</v>
      </c>
      <c r="B47">
        <v>3</v>
      </c>
      <c r="C47">
        <v>4</v>
      </c>
      <c r="D47">
        <v>1</v>
      </c>
      <c r="E47">
        <v>0.86666666666666703</v>
      </c>
      <c r="F47">
        <v>1</v>
      </c>
      <c r="G47">
        <v>1</v>
      </c>
      <c r="H47">
        <v>0.92857142857142905</v>
      </c>
      <c r="I47">
        <v>0.9375</v>
      </c>
      <c r="J47">
        <v>338</v>
      </c>
    </row>
    <row r="48" spans="1:10" x14ac:dyDescent="0.3">
      <c r="A48">
        <v>0.97777777777777797</v>
      </c>
      <c r="B48">
        <v>3</v>
      </c>
      <c r="C48">
        <v>4</v>
      </c>
      <c r="D48">
        <v>1</v>
      </c>
      <c r="E48">
        <v>0.93333333333333302</v>
      </c>
      <c r="F48">
        <v>1</v>
      </c>
      <c r="G48">
        <v>1</v>
      </c>
      <c r="H48">
        <v>0.96551724137931005</v>
      </c>
      <c r="I48">
        <v>0.967741935483871</v>
      </c>
      <c r="J48">
        <v>363</v>
      </c>
    </row>
    <row r="49" spans="1:10" x14ac:dyDescent="0.3">
      <c r="A49">
        <v>0.95555555555555605</v>
      </c>
      <c r="B49">
        <v>3</v>
      </c>
      <c r="C49">
        <v>4</v>
      </c>
      <c r="D49">
        <v>1</v>
      </c>
      <c r="E49">
        <v>0.86666666666666703</v>
      </c>
      <c r="F49">
        <v>1</v>
      </c>
      <c r="G49">
        <v>1</v>
      </c>
      <c r="H49">
        <v>0.92857142857142905</v>
      </c>
      <c r="I49">
        <v>0.9375</v>
      </c>
      <c r="J49">
        <v>88</v>
      </c>
    </row>
    <row r="50" spans="1:10" x14ac:dyDescent="0.3">
      <c r="A50">
        <v>0.93333333333333302</v>
      </c>
      <c r="B50">
        <v>4</v>
      </c>
      <c r="C50">
        <v>5</v>
      </c>
      <c r="D50">
        <v>1</v>
      </c>
      <c r="E50">
        <v>0.93333333333333302</v>
      </c>
      <c r="F50">
        <v>0.86666666666666703</v>
      </c>
      <c r="G50">
        <v>1</v>
      </c>
      <c r="H50">
        <v>0.90322580645161299</v>
      </c>
      <c r="I50">
        <v>0.89655172413793105</v>
      </c>
      <c r="J50">
        <v>280</v>
      </c>
    </row>
    <row r="51" spans="1:10" x14ac:dyDescent="0.3">
      <c r="A51">
        <v>0.88888888888888895</v>
      </c>
      <c r="B51">
        <v>3</v>
      </c>
      <c r="C51">
        <v>4</v>
      </c>
      <c r="D51">
        <v>1</v>
      </c>
      <c r="E51">
        <v>0.86666666666666703</v>
      </c>
      <c r="F51">
        <v>0.8</v>
      </c>
      <c r="G51">
        <v>1</v>
      </c>
      <c r="H51">
        <v>0.83870967741935498</v>
      </c>
      <c r="I51">
        <v>0.82758620689655205</v>
      </c>
      <c r="J51">
        <v>404</v>
      </c>
    </row>
    <row r="52" spans="1:10" x14ac:dyDescent="0.3">
      <c r="A52">
        <v>0.93333333333333302</v>
      </c>
      <c r="B52">
        <v>4</v>
      </c>
      <c r="C52">
        <v>6</v>
      </c>
      <c r="D52">
        <v>1</v>
      </c>
      <c r="E52">
        <v>1</v>
      </c>
      <c r="F52">
        <v>0.8</v>
      </c>
      <c r="G52">
        <v>1</v>
      </c>
      <c r="H52">
        <v>0.90909090909090895</v>
      </c>
      <c r="I52">
        <v>0.88888888888888895</v>
      </c>
      <c r="J52">
        <v>604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2"/>
  <sheetViews>
    <sheetView workbookViewId="0">
      <selection activeCell="B15" sqref="B15"/>
    </sheetView>
  </sheetViews>
  <sheetFormatPr defaultColWidth="11.5546875" defaultRowHeight="14.4" x14ac:dyDescent="0.3"/>
  <cols>
    <col min="2" max="2" width="19.33203125" customWidth="1"/>
  </cols>
  <sheetData>
    <row r="1" spans="1:11" x14ac:dyDescent="0.3">
      <c r="A1" t="s">
        <v>0</v>
      </c>
      <c r="B1" t="s">
        <v>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12</v>
      </c>
    </row>
    <row r="2" spans="1:11" x14ac:dyDescent="0.3">
      <c r="A2">
        <v>0.97777777777777797</v>
      </c>
      <c r="B2">
        <v>4</v>
      </c>
      <c r="C2">
        <v>4</v>
      </c>
      <c r="D2">
        <v>5</v>
      </c>
      <c r="E2">
        <v>1</v>
      </c>
      <c r="F2">
        <v>0.93333333333333302</v>
      </c>
      <c r="G2">
        <v>1</v>
      </c>
      <c r="H2">
        <v>1</v>
      </c>
      <c r="I2">
        <v>0.96551724137931005</v>
      </c>
      <c r="J2">
        <v>0.967741935483871</v>
      </c>
      <c r="K2">
        <v>919</v>
      </c>
    </row>
    <row r="3" spans="1:11" x14ac:dyDescent="0.3">
      <c r="A3">
        <v>0.93333333333333302</v>
      </c>
      <c r="B3">
        <v>0.25</v>
      </c>
      <c r="C3">
        <v>6</v>
      </c>
      <c r="D3">
        <v>7</v>
      </c>
      <c r="E3">
        <v>1</v>
      </c>
      <c r="F3">
        <v>0.93333333333333302</v>
      </c>
      <c r="G3">
        <v>0.86666666666666703</v>
      </c>
      <c r="H3">
        <v>1</v>
      </c>
      <c r="I3">
        <v>0.90322580645161299</v>
      </c>
      <c r="J3">
        <v>0.89655172413793105</v>
      </c>
      <c r="K3">
        <v>917</v>
      </c>
    </row>
    <row r="4" spans="1:11" x14ac:dyDescent="0.3">
      <c r="A4">
        <v>0.97777777777777797</v>
      </c>
      <c r="B4">
        <v>4</v>
      </c>
      <c r="C4">
        <v>3</v>
      </c>
      <c r="D4">
        <v>4</v>
      </c>
      <c r="E4">
        <v>1</v>
      </c>
      <c r="F4">
        <v>0.93333333333333302</v>
      </c>
      <c r="G4">
        <v>1</v>
      </c>
      <c r="H4">
        <v>1</v>
      </c>
      <c r="I4">
        <v>0.96551724137931005</v>
      </c>
      <c r="J4">
        <v>0.967741935483871</v>
      </c>
      <c r="K4">
        <v>359</v>
      </c>
    </row>
    <row r="5" spans="1:11" x14ac:dyDescent="0.3">
      <c r="A5">
        <v>0.97777777777777797</v>
      </c>
      <c r="B5">
        <v>4</v>
      </c>
      <c r="C5">
        <v>3</v>
      </c>
      <c r="D5">
        <v>4</v>
      </c>
      <c r="E5">
        <v>1</v>
      </c>
      <c r="F5">
        <v>1</v>
      </c>
      <c r="G5">
        <v>0.93333333333333302</v>
      </c>
      <c r="H5">
        <v>1</v>
      </c>
      <c r="I5">
        <v>0.967741935483871</v>
      </c>
      <c r="J5">
        <v>0.96551724137931005</v>
      </c>
      <c r="K5">
        <v>575</v>
      </c>
    </row>
    <row r="6" spans="1:11" x14ac:dyDescent="0.3">
      <c r="A6">
        <v>0.88888888888888895</v>
      </c>
      <c r="B6">
        <v>0.25</v>
      </c>
      <c r="C6">
        <v>4</v>
      </c>
      <c r="D6">
        <v>5</v>
      </c>
      <c r="E6">
        <v>1</v>
      </c>
      <c r="F6">
        <v>0.8</v>
      </c>
      <c r="G6">
        <v>0.86666666666666703</v>
      </c>
      <c r="H6">
        <v>1</v>
      </c>
      <c r="I6">
        <v>0.82758620689655205</v>
      </c>
      <c r="J6">
        <v>0.83870967741935498</v>
      </c>
      <c r="K6">
        <v>247</v>
      </c>
    </row>
    <row r="7" spans="1:11" x14ac:dyDescent="0.3">
      <c r="A7">
        <v>0.93333333333333302</v>
      </c>
      <c r="B7">
        <v>1.25</v>
      </c>
      <c r="C7">
        <v>3</v>
      </c>
      <c r="D7">
        <v>4</v>
      </c>
      <c r="E7">
        <v>1</v>
      </c>
      <c r="F7">
        <v>0.93333333333333302</v>
      </c>
      <c r="G7">
        <v>0.86666666666666703</v>
      </c>
      <c r="H7">
        <v>1</v>
      </c>
      <c r="I7">
        <v>0.90322580645161299</v>
      </c>
      <c r="J7">
        <v>0.89655172413793105</v>
      </c>
      <c r="K7">
        <v>215</v>
      </c>
    </row>
    <row r="8" spans="1:11" x14ac:dyDescent="0.3">
      <c r="A8">
        <v>0.97777777777777797</v>
      </c>
      <c r="B8">
        <v>4</v>
      </c>
      <c r="C8">
        <v>3</v>
      </c>
      <c r="D8">
        <v>4</v>
      </c>
      <c r="E8">
        <v>1</v>
      </c>
      <c r="F8">
        <v>0.93333333333333302</v>
      </c>
      <c r="G8">
        <v>1</v>
      </c>
      <c r="H8">
        <v>1</v>
      </c>
      <c r="I8">
        <v>0.96551724137931005</v>
      </c>
      <c r="J8">
        <v>0.967741935483871</v>
      </c>
      <c r="K8">
        <v>926</v>
      </c>
    </row>
    <row r="9" spans="1:11" x14ac:dyDescent="0.3">
      <c r="A9">
        <v>0.93333333333333302</v>
      </c>
      <c r="B9">
        <v>0.75</v>
      </c>
      <c r="C9">
        <v>5</v>
      </c>
      <c r="D9">
        <v>6</v>
      </c>
      <c r="E9">
        <v>1</v>
      </c>
      <c r="F9">
        <v>0.86666666666666703</v>
      </c>
      <c r="G9">
        <v>0.93333333333333302</v>
      </c>
      <c r="H9">
        <v>1</v>
      </c>
      <c r="I9">
        <v>0.89655172413793105</v>
      </c>
      <c r="J9">
        <v>0.90322580645161299</v>
      </c>
      <c r="K9">
        <v>756</v>
      </c>
    </row>
    <row r="10" spans="1:11" x14ac:dyDescent="0.3">
      <c r="A10">
        <v>0.91111111111111098</v>
      </c>
      <c r="B10">
        <v>4</v>
      </c>
      <c r="C10">
        <v>2</v>
      </c>
      <c r="D10">
        <v>3</v>
      </c>
      <c r="E10">
        <v>1</v>
      </c>
      <c r="F10">
        <v>0.93333333333333302</v>
      </c>
      <c r="G10">
        <v>0.8</v>
      </c>
      <c r="H10">
        <v>1</v>
      </c>
      <c r="I10">
        <v>0.875</v>
      </c>
      <c r="J10">
        <v>0.85714285714285698</v>
      </c>
      <c r="K10">
        <v>781</v>
      </c>
    </row>
    <row r="11" spans="1:11" x14ac:dyDescent="0.3">
      <c r="A11">
        <v>0.95555555555555605</v>
      </c>
      <c r="B11">
        <v>0.5</v>
      </c>
      <c r="C11">
        <v>5</v>
      </c>
      <c r="D11">
        <v>6</v>
      </c>
      <c r="E11">
        <v>1</v>
      </c>
      <c r="F11">
        <v>0.93333333333333302</v>
      </c>
      <c r="G11">
        <v>0.93333333333333302</v>
      </c>
      <c r="H11">
        <v>1</v>
      </c>
      <c r="I11">
        <v>0.93333333333333302</v>
      </c>
      <c r="J11">
        <v>0.93333333333333302</v>
      </c>
      <c r="K11">
        <v>467</v>
      </c>
    </row>
    <row r="12" spans="1:11" x14ac:dyDescent="0.3">
      <c r="A12">
        <v>0.97777777777777797</v>
      </c>
      <c r="B12">
        <v>4</v>
      </c>
      <c r="C12">
        <v>3</v>
      </c>
      <c r="D12">
        <v>4</v>
      </c>
      <c r="E12">
        <v>1</v>
      </c>
      <c r="F12">
        <v>0.93333333333333302</v>
      </c>
      <c r="G12">
        <v>1</v>
      </c>
      <c r="H12">
        <v>1</v>
      </c>
      <c r="I12">
        <v>0.96551724137931005</v>
      </c>
      <c r="J12">
        <v>0.967741935483871</v>
      </c>
      <c r="K12">
        <v>122</v>
      </c>
    </row>
    <row r="13" spans="1:11" x14ac:dyDescent="0.3">
      <c r="A13">
        <v>0.93333333333333302</v>
      </c>
      <c r="B13">
        <v>4</v>
      </c>
      <c r="C13">
        <v>2</v>
      </c>
      <c r="D13">
        <v>3</v>
      </c>
      <c r="E13">
        <v>1</v>
      </c>
      <c r="F13">
        <v>0.93333333333333302</v>
      </c>
      <c r="G13">
        <v>0.86666666666666703</v>
      </c>
      <c r="H13">
        <v>1</v>
      </c>
      <c r="I13">
        <v>0.90322580645161299</v>
      </c>
      <c r="J13">
        <v>0.89655172413793105</v>
      </c>
      <c r="K13">
        <v>851</v>
      </c>
    </row>
    <row r="14" spans="1:11" x14ac:dyDescent="0.3">
      <c r="A14">
        <v>0.95555555555555605</v>
      </c>
      <c r="B14">
        <v>0.25</v>
      </c>
      <c r="C14">
        <v>3</v>
      </c>
      <c r="D14">
        <v>4</v>
      </c>
      <c r="E14">
        <v>1</v>
      </c>
      <c r="F14">
        <v>0.86666666666666703</v>
      </c>
      <c r="G14">
        <v>1</v>
      </c>
      <c r="H14">
        <v>1</v>
      </c>
      <c r="I14">
        <v>0.92857142857142905</v>
      </c>
      <c r="J14">
        <v>0.9375</v>
      </c>
      <c r="K14">
        <v>217</v>
      </c>
    </row>
    <row r="15" spans="1:11" x14ac:dyDescent="0.3">
      <c r="A15">
        <v>0.91111111111111098</v>
      </c>
      <c r="B15">
        <v>0.25</v>
      </c>
      <c r="C15">
        <v>4</v>
      </c>
      <c r="D15">
        <v>5</v>
      </c>
      <c r="E15">
        <v>1</v>
      </c>
      <c r="F15">
        <v>0.86666666666666703</v>
      </c>
      <c r="G15">
        <v>0.86666666666666703</v>
      </c>
      <c r="H15">
        <v>1</v>
      </c>
      <c r="I15">
        <v>0.86666666666666703</v>
      </c>
      <c r="J15">
        <v>0.86666666666666703</v>
      </c>
      <c r="K15">
        <v>573</v>
      </c>
    </row>
    <row r="16" spans="1:11" x14ac:dyDescent="0.3">
      <c r="A16">
        <v>1</v>
      </c>
      <c r="B16">
        <v>1.5</v>
      </c>
      <c r="C16">
        <v>4</v>
      </c>
      <c r="D16">
        <v>6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599</v>
      </c>
    </row>
    <row r="17" spans="1:11" x14ac:dyDescent="0.3">
      <c r="A17">
        <v>0.91111111111111098</v>
      </c>
      <c r="B17">
        <v>0.75</v>
      </c>
      <c r="C17">
        <v>5</v>
      </c>
      <c r="D17">
        <v>7</v>
      </c>
      <c r="E17">
        <v>1</v>
      </c>
      <c r="F17">
        <v>0.8</v>
      </c>
      <c r="G17">
        <v>0.93333333333333302</v>
      </c>
      <c r="H17">
        <v>1</v>
      </c>
      <c r="I17">
        <v>0.85714285714285698</v>
      </c>
      <c r="J17">
        <v>0.875</v>
      </c>
      <c r="K17">
        <v>533</v>
      </c>
    </row>
    <row r="18" spans="1:11" x14ac:dyDescent="0.3">
      <c r="A18">
        <v>0.91111111111111098</v>
      </c>
      <c r="B18">
        <v>4</v>
      </c>
      <c r="C18">
        <v>4</v>
      </c>
      <c r="D18">
        <v>5</v>
      </c>
      <c r="E18">
        <v>1</v>
      </c>
      <c r="F18">
        <v>1</v>
      </c>
      <c r="G18">
        <v>0.73333333333333295</v>
      </c>
      <c r="H18">
        <v>1</v>
      </c>
      <c r="I18">
        <v>0.88235294117647101</v>
      </c>
      <c r="J18">
        <v>0.84615384615384603</v>
      </c>
      <c r="K18">
        <v>631</v>
      </c>
    </row>
    <row r="19" spans="1:11" x14ac:dyDescent="0.3">
      <c r="A19">
        <v>0.93333333333333302</v>
      </c>
      <c r="B19">
        <v>3.75</v>
      </c>
      <c r="C19">
        <v>2</v>
      </c>
      <c r="D19">
        <v>3</v>
      </c>
      <c r="E19">
        <v>1</v>
      </c>
      <c r="F19">
        <v>0.86666666666666703</v>
      </c>
      <c r="G19">
        <v>0.93333333333333302</v>
      </c>
      <c r="H19">
        <v>1</v>
      </c>
      <c r="I19">
        <v>0.89655172413793105</v>
      </c>
      <c r="J19">
        <v>0.90322580645161299</v>
      </c>
      <c r="K19">
        <v>516</v>
      </c>
    </row>
    <row r="20" spans="1:11" x14ac:dyDescent="0.3">
      <c r="A20">
        <v>0.97777777777777797</v>
      </c>
      <c r="B20">
        <v>1.5</v>
      </c>
      <c r="C20">
        <v>5</v>
      </c>
      <c r="D20">
        <v>6</v>
      </c>
      <c r="E20">
        <v>1</v>
      </c>
      <c r="F20">
        <v>1</v>
      </c>
      <c r="G20">
        <v>0.93333333333333302</v>
      </c>
      <c r="H20">
        <v>1</v>
      </c>
      <c r="I20">
        <v>0.967741935483871</v>
      </c>
      <c r="J20">
        <v>0.96551724137931005</v>
      </c>
      <c r="K20">
        <v>686</v>
      </c>
    </row>
    <row r="21" spans="1:11" x14ac:dyDescent="0.3">
      <c r="A21">
        <v>0.97777777777777797</v>
      </c>
      <c r="B21">
        <v>0.5</v>
      </c>
      <c r="C21">
        <v>8</v>
      </c>
      <c r="D21">
        <v>9</v>
      </c>
      <c r="E21">
        <v>1</v>
      </c>
      <c r="F21">
        <v>1</v>
      </c>
      <c r="G21">
        <v>0.93333333333333302</v>
      </c>
      <c r="H21">
        <v>1</v>
      </c>
      <c r="I21">
        <v>0.967741935483871</v>
      </c>
      <c r="J21">
        <v>0.96551724137931005</v>
      </c>
      <c r="K21">
        <v>94</v>
      </c>
    </row>
    <row r="22" spans="1:11" x14ac:dyDescent="0.3">
      <c r="A22">
        <v>0.93333333333333302</v>
      </c>
      <c r="B22">
        <v>2.5</v>
      </c>
      <c r="C22">
        <v>4</v>
      </c>
      <c r="D22">
        <v>6</v>
      </c>
      <c r="E22">
        <v>1</v>
      </c>
      <c r="F22">
        <v>0.86666666666666703</v>
      </c>
      <c r="G22">
        <v>0.93333333333333302</v>
      </c>
      <c r="H22">
        <v>1</v>
      </c>
      <c r="I22">
        <v>0.89655172413793105</v>
      </c>
      <c r="J22">
        <v>0.90322580645161299</v>
      </c>
      <c r="K22">
        <v>154</v>
      </c>
    </row>
    <row r="23" spans="1:11" x14ac:dyDescent="0.3">
      <c r="A23">
        <v>0.95555555555555605</v>
      </c>
      <c r="B23">
        <v>4</v>
      </c>
      <c r="C23">
        <v>2</v>
      </c>
      <c r="D23">
        <v>3</v>
      </c>
      <c r="E23">
        <v>1</v>
      </c>
      <c r="F23">
        <v>1</v>
      </c>
      <c r="G23">
        <v>0.86666666666666703</v>
      </c>
      <c r="H23">
        <v>1</v>
      </c>
      <c r="I23">
        <v>0.9375</v>
      </c>
      <c r="J23">
        <v>0.92857142857142905</v>
      </c>
      <c r="K23">
        <v>937</v>
      </c>
    </row>
    <row r="24" spans="1:11" x14ac:dyDescent="0.3">
      <c r="A24">
        <v>0.97777777777777797</v>
      </c>
      <c r="B24">
        <v>2</v>
      </c>
      <c r="C24">
        <v>5</v>
      </c>
      <c r="D24">
        <v>6</v>
      </c>
      <c r="E24">
        <v>1</v>
      </c>
      <c r="F24">
        <v>1</v>
      </c>
      <c r="G24">
        <v>0.93333333333333302</v>
      </c>
      <c r="H24">
        <v>1</v>
      </c>
      <c r="I24">
        <v>0.967741935483871</v>
      </c>
      <c r="J24">
        <v>0.96551724137931005</v>
      </c>
      <c r="K24">
        <v>375</v>
      </c>
    </row>
    <row r="25" spans="1:11" x14ac:dyDescent="0.3">
      <c r="A25">
        <v>0.93333333333333302</v>
      </c>
      <c r="B25">
        <v>0.25</v>
      </c>
      <c r="C25">
        <v>3</v>
      </c>
      <c r="D25">
        <v>4</v>
      </c>
      <c r="E25">
        <v>1</v>
      </c>
      <c r="F25">
        <v>0.93333333333333302</v>
      </c>
      <c r="G25">
        <v>0.86666666666666703</v>
      </c>
      <c r="H25">
        <v>1</v>
      </c>
      <c r="I25">
        <v>0.90322580645161299</v>
      </c>
      <c r="J25">
        <v>0.89655172413793105</v>
      </c>
      <c r="K25">
        <v>311</v>
      </c>
    </row>
    <row r="26" spans="1:11" x14ac:dyDescent="0.3">
      <c r="A26">
        <v>0.91111111111111098</v>
      </c>
      <c r="B26">
        <v>2.5</v>
      </c>
      <c r="C26">
        <v>3</v>
      </c>
      <c r="D26">
        <v>4</v>
      </c>
      <c r="E26">
        <v>1</v>
      </c>
      <c r="F26">
        <v>0.73333333333333295</v>
      </c>
      <c r="G26">
        <v>1</v>
      </c>
      <c r="H26">
        <v>1</v>
      </c>
      <c r="I26">
        <v>0.84615384615384603</v>
      </c>
      <c r="J26">
        <v>0.88235294117647101</v>
      </c>
      <c r="K26">
        <v>793</v>
      </c>
    </row>
    <row r="27" spans="1:11" x14ac:dyDescent="0.3">
      <c r="A27">
        <v>0.93333333333333302</v>
      </c>
      <c r="B27">
        <v>4</v>
      </c>
      <c r="C27">
        <v>3</v>
      </c>
      <c r="D27">
        <v>4</v>
      </c>
      <c r="E27">
        <v>1</v>
      </c>
      <c r="F27">
        <v>0.86666666666666703</v>
      </c>
      <c r="G27">
        <v>0.93333333333333302</v>
      </c>
      <c r="H27">
        <v>1</v>
      </c>
      <c r="I27">
        <v>0.89655172413793105</v>
      </c>
      <c r="J27">
        <v>0.90322580645161299</v>
      </c>
      <c r="K27">
        <v>769</v>
      </c>
    </row>
    <row r="28" spans="1:11" x14ac:dyDescent="0.3">
      <c r="A28">
        <v>0.88888888888888895</v>
      </c>
      <c r="B28">
        <v>4</v>
      </c>
      <c r="C28">
        <v>2</v>
      </c>
      <c r="D28">
        <v>3</v>
      </c>
      <c r="E28">
        <v>0.86666666666666703</v>
      </c>
      <c r="F28">
        <v>0.8</v>
      </c>
      <c r="G28">
        <v>1</v>
      </c>
      <c r="H28">
        <v>0.92857142857142905</v>
      </c>
      <c r="I28">
        <v>0.82758620689655205</v>
      </c>
      <c r="J28">
        <v>0.90909090909090895</v>
      </c>
      <c r="K28">
        <v>433</v>
      </c>
    </row>
    <row r="29" spans="1:11" x14ac:dyDescent="0.3">
      <c r="A29">
        <v>0.93333333333333302</v>
      </c>
      <c r="B29">
        <v>0.25</v>
      </c>
      <c r="C29">
        <v>4</v>
      </c>
      <c r="D29">
        <v>5</v>
      </c>
      <c r="E29">
        <v>1</v>
      </c>
      <c r="F29">
        <v>0.93333333333333302</v>
      </c>
      <c r="G29">
        <v>0.86666666666666703</v>
      </c>
      <c r="H29">
        <v>1</v>
      </c>
      <c r="I29">
        <v>0.90322580645161299</v>
      </c>
      <c r="J29">
        <v>0.89655172413793105</v>
      </c>
      <c r="K29">
        <v>636</v>
      </c>
    </row>
    <row r="30" spans="1:11" x14ac:dyDescent="0.3">
      <c r="A30">
        <v>0.97777777777777797</v>
      </c>
      <c r="B30">
        <v>4</v>
      </c>
      <c r="C30">
        <v>3</v>
      </c>
      <c r="D30">
        <v>4</v>
      </c>
      <c r="E30">
        <v>1</v>
      </c>
      <c r="F30">
        <v>1</v>
      </c>
      <c r="G30">
        <v>0.93333333333333302</v>
      </c>
      <c r="H30">
        <v>1</v>
      </c>
      <c r="I30">
        <v>0.967741935483871</v>
      </c>
      <c r="J30">
        <v>0.96551724137931005</v>
      </c>
      <c r="K30">
        <v>695</v>
      </c>
    </row>
    <row r="31" spans="1:11" x14ac:dyDescent="0.3">
      <c r="A31">
        <v>0.88888888888888895</v>
      </c>
      <c r="B31">
        <v>4</v>
      </c>
      <c r="C31">
        <v>2</v>
      </c>
      <c r="D31">
        <v>3</v>
      </c>
      <c r="E31">
        <v>1</v>
      </c>
      <c r="F31">
        <v>0.86666666666666703</v>
      </c>
      <c r="G31">
        <v>0.8</v>
      </c>
      <c r="H31">
        <v>1</v>
      </c>
      <c r="I31">
        <v>0.83870967741935498</v>
      </c>
      <c r="J31">
        <v>0.82758620689655205</v>
      </c>
      <c r="K31">
        <v>525</v>
      </c>
    </row>
    <row r="32" spans="1:11" x14ac:dyDescent="0.3">
      <c r="A32">
        <v>0.95555555555555605</v>
      </c>
      <c r="B32">
        <v>0.5</v>
      </c>
      <c r="C32">
        <v>4</v>
      </c>
      <c r="D32">
        <v>5</v>
      </c>
      <c r="E32">
        <v>1</v>
      </c>
      <c r="F32">
        <v>0.93333333333333302</v>
      </c>
      <c r="G32">
        <v>0.93333333333333302</v>
      </c>
      <c r="H32">
        <v>1</v>
      </c>
      <c r="I32">
        <v>0.93333333333333302</v>
      </c>
      <c r="J32">
        <v>0.93333333333333302</v>
      </c>
      <c r="K32">
        <v>177</v>
      </c>
    </row>
    <row r="33" spans="1:11" x14ac:dyDescent="0.3">
      <c r="A33">
        <v>0.97777777777777797</v>
      </c>
      <c r="B33">
        <v>4</v>
      </c>
      <c r="C33">
        <v>3</v>
      </c>
      <c r="D33">
        <v>4</v>
      </c>
      <c r="E33">
        <v>1</v>
      </c>
      <c r="F33">
        <v>0.93333333333333302</v>
      </c>
      <c r="G33">
        <v>1</v>
      </c>
      <c r="H33">
        <v>1</v>
      </c>
      <c r="I33">
        <v>0.96551724137931005</v>
      </c>
      <c r="J33">
        <v>0.967741935483871</v>
      </c>
      <c r="K33">
        <v>625</v>
      </c>
    </row>
    <row r="34" spans="1:11" x14ac:dyDescent="0.3">
      <c r="A34">
        <v>0.91111111111111098</v>
      </c>
      <c r="B34">
        <v>0.75</v>
      </c>
      <c r="C34">
        <v>4</v>
      </c>
      <c r="D34">
        <v>5</v>
      </c>
      <c r="E34">
        <v>0.86666666666666703</v>
      </c>
      <c r="F34">
        <v>0.93333333333333302</v>
      </c>
      <c r="G34">
        <v>0.93333333333333302</v>
      </c>
      <c r="H34">
        <v>0.92857142857142905</v>
      </c>
      <c r="I34">
        <v>0.875</v>
      </c>
      <c r="J34">
        <v>0.93333333333333302</v>
      </c>
      <c r="K34">
        <v>417</v>
      </c>
    </row>
    <row r="35" spans="1:11" x14ac:dyDescent="0.3">
      <c r="A35">
        <v>0.97777777777777797</v>
      </c>
      <c r="B35">
        <v>4</v>
      </c>
      <c r="C35">
        <v>3</v>
      </c>
      <c r="D35">
        <v>4</v>
      </c>
      <c r="E35">
        <v>1</v>
      </c>
      <c r="F35">
        <v>0.93333333333333302</v>
      </c>
      <c r="G35">
        <v>1</v>
      </c>
      <c r="H35">
        <v>1</v>
      </c>
      <c r="I35">
        <v>0.96551724137931005</v>
      </c>
      <c r="J35">
        <v>0.967741935483871</v>
      </c>
      <c r="K35">
        <v>541</v>
      </c>
    </row>
    <row r="36" spans="1:11" x14ac:dyDescent="0.3">
      <c r="A36">
        <v>0.88888888888888895</v>
      </c>
      <c r="B36">
        <v>4</v>
      </c>
      <c r="C36">
        <v>2</v>
      </c>
      <c r="D36">
        <v>3</v>
      </c>
      <c r="E36">
        <v>1</v>
      </c>
      <c r="F36">
        <v>0.93333333333333302</v>
      </c>
      <c r="G36">
        <v>0.73333333333333295</v>
      </c>
      <c r="H36">
        <v>1</v>
      </c>
      <c r="I36">
        <v>0.84848484848484895</v>
      </c>
      <c r="J36">
        <v>0.81481481481481499</v>
      </c>
      <c r="K36">
        <v>592</v>
      </c>
    </row>
    <row r="37" spans="1:11" x14ac:dyDescent="0.3">
      <c r="A37">
        <v>0.95555555555555605</v>
      </c>
      <c r="B37">
        <v>0.75</v>
      </c>
      <c r="C37">
        <v>3</v>
      </c>
      <c r="D37">
        <v>4</v>
      </c>
      <c r="E37">
        <v>1</v>
      </c>
      <c r="F37">
        <v>0.93333333333333302</v>
      </c>
      <c r="G37">
        <v>0.93333333333333302</v>
      </c>
      <c r="H37">
        <v>1</v>
      </c>
      <c r="I37">
        <v>0.93333333333333302</v>
      </c>
      <c r="J37">
        <v>0.93333333333333302</v>
      </c>
      <c r="K37">
        <v>289</v>
      </c>
    </row>
    <row r="38" spans="1:11" x14ac:dyDescent="0.3">
      <c r="A38">
        <v>0.91111111111111098</v>
      </c>
      <c r="B38">
        <v>4</v>
      </c>
      <c r="C38">
        <v>5</v>
      </c>
      <c r="D38">
        <v>6</v>
      </c>
      <c r="E38">
        <v>1</v>
      </c>
      <c r="F38">
        <v>0.93333333333333302</v>
      </c>
      <c r="G38">
        <v>0.8</v>
      </c>
      <c r="H38">
        <v>1</v>
      </c>
      <c r="I38">
        <v>0.875</v>
      </c>
      <c r="J38">
        <v>0.85714285714285698</v>
      </c>
      <c r="K38">
        <v>233</v>
      </c>
    </row>
    <row r="39" spans="1:11" x14ac:dyDescent="0.3">
      <c r="A39">
        <v>0.97777777777777797</v>
      </c>
      <c r="B39">
        <v>0.75</v>
      </c>
      <c r="C39">
        <v>3</v>
      </c>
      <c r="D39">
        <v>4</v>
      </c>
      <c r="E39">
        <v>1</v>
      </c>
      <c r="F39">
        <v>0.93333333333333302</v>
      </c>
      <c r="G39">
        <v>1</v>
      </c>
      <c r="H39">
        <v>1</v>
      </c>
      <c r="I39">
        <v>0.96551724137931005</v>
      </c>
      <c r="J39">
        <v>0.967741935483871</v>
      </c>
      <c r="K39">
        <v>472</v>
      </c>
    </row>
    <row r="40" spans="1:11" x14ac:dyDescent="0.3">
      <c r="A40">
        <v>0.86666666666666703</v>
      </c>
      <c r="B40">
        <v>3.5</v>
      </c>
      <c r="C40">
        <v>5</v>
      </c>
      <c r="D40">
        <v>6</v>
      </c>
      <c r="E40">
        <v>1</v>
      </c>
      <c r="F40">
        <v>1</v>
      </c>
      <c r="G40">
        <v>0.6</v>
      </c>
      <c r="H40">
        <v>1</v>
      </c>
      <c r="I40">
        <v>0.83333333333333304</v>
      </c>
      <c r="J40">
        <v>0.75</v>
      </c>
      <c r="K40">
        <v>219</v>
      </c>
    </row>
    <row r="41" spans="1:11" x14ac:dyDescent="0.3">
      <c r="A41">
        <v>0.95555555555555605</v>
      </c>
      <c r="B41">
        <v>0.25</v>
      </c>
      <c r="C41">
        <v>3</v>
      </c>
      <c r="D41">
        <v>4</v>
      </c>
      <c r="E41">
        <v>1</v>
      </c>
      <c r="F41">
        <v>0.86666666666666703</v>
      </c>
      <c r="G41">
        <v>1</v>
      </c>
      <c r="H41">
        <v>1</v>
      </c>
      <c r="I41">
        <v>0.92857142857142905</v>
      </c>
      <c r="J41">
        <v>0.9375</v>
      </c>
      <c r="K41">
        <v>946</v>
      </c>
    </row>
    <row r="42" spans="1:11" x14ac:dyDescent="0.3">
      <c r="A42">
        <v>0.88888888888888895</v>
      </c>
      <c r="B42">
        <v>4</v>
      </c>
      <c r="C42">
        <v>2</v>
      </c>
      <c r="D42">
        <v>3</v>
      </c>
      <c r="E42">
        <v>1</v>
      </c>
      <c r="F42">
        <v>0.73333333333333295</v>
      </c>
      <c r="G42">
        <v>0.93333333333333302</v>
      </c>
      <c r="H42">
        <v>1</v>
      </c>
      <c r="I42">
        <v>0.81481481481481499</v>
      </c>
      <c r="J42">
        <v>0.84848484848484895</v>
      </c>
      <c r="K42">
        <v>165</v>
      </c>
    </row>
    <row r="43" spans="1:11" x14ac:dyDescent="0.3">
      <c r="A43">
        <v>0.93333333333333302</v>
      </c>
      <c r="B43">
        <v>1.25</v>
      </c>
      <c r="C43">
        <v>4</v>
      </c>
      <c r="D43">
        <v>6</v>
      </c>
      <c r="E43">
        <v>1</v>
      </c>
      <c r="F43">
        <v>1</v>
      </c>
      <c r="G43">
        <v>0.8</v>
      </c>
      <c r="H43">
        <v>1</v>
      </c>
      <c r="I43">
        <v>0.90909090909090895</v>
      </c>
      <c r="J43">
        <v>0.88888888888888895</v>
      </c>
      <c r="K43">
        <v>683</v>
      </c>
    </row>
    <row r="44" spans="1:11" x14ac:dyDescent="0.3">
      <c r="A44">
        <v>0.95555555555555605</v>
      </c>
      <c r="B44">
        <v>0.75</v>
      </c>
      <c r="C44">
        <v>3</v>
      </c>
      <c r="D44">
        <v>4</v>
      </c>
      <c r="E44">
        <v>1</v>
      </c>
      <c r="F44">
        <v>0.86666666666666703</v>
      </c>
      <c r="G44">
        <v>1</v>
      </c>
      <c r="H44">
        <v>1</v>
      </c>
      <c r="I44">
        <v>0.92857142857142905</v>
      </c>
      <c r="J44">
        <v>0.9375</v>
      </c>
      <c r="K44">
        <v>527</v>
      </c>
    </row>
    <row r="45" spans="1:11" x14ac:dyDescent="0.3">
      <c r="A45">
        <v>0.97777777777777797</v>
      </c>
      <c r="B45">
        <v>3</v>
      </c>
      <c r="C45">
        <v>5</v>
      </c>
      <c r="D45">
        <v>7</v>
      </c>
      <c r="E45">
        <v>1</v>
      </c>
      <c r="F45">
        <v>1</v>
      </c>
      <c r="G45">
        <v>0.93333333333333302</v>
      </c>
      <c r="H45">
        <v>1</v>
      </c>
      <c r="I45">
        <v>0.967741935483871</v>
      </c>
      <c r="J45">
        <v>0.96551724137931005</v>
      </c>
      <c r="K45">
        <v>576</v>
      </c>
    </row>
    <row r="46" spans="1:11" x14ac:dyDescent="0.3">
      <c r="A46">
        <v>0.97777777777777797</v>
      </c>
      <c r="B46">
        <v>0.75</v>
      </c>
      <c r="C46">
        <v>5</v>
      </c>
      <c r="D46">
        <v>6</v>
      </c>
      <c r="E46">
        <v>1</v>
      </c>
      <c r="F46">
        <v>1</v>
      </c>
      <c r="G46">
        <v>0.93333333333333302</v>
      </c>
      <c r="H46">
        <v>1</v>
      </c>
      <c r="I46">
        <v>0.967741935483871</v>
      </c>
      <c r="J46">
        <v>0.96551724137931005</v>
      </c>
      <c r="K46">
        <v>460</v>
      </c>
    </row>
    <row r="47" spans="1:11" x14ac:dyDescent="0.3">
      <c r="A47">
        <v>0.95555555555555605</v>
      </c>
      <c r="B47">
        <v>4</v>
      </c>
      <c r="C47">
        <v>3</v>
      </c>
      <c r="D47">
        <v>4</v>
      </c>
      <c r="E47">
        <v>1</v>
      </c>
      <c r="F47">
        <v>0.86666666666666703</v>
      </c>
      <c r="G47">
        <v>1</v>
      </c>
      <c r="H47">
        <v>1</v>
      </c>
      <c r="I47">
        <v>0.92857142857142905</v>
      </c>
      <c r="J47">
        <v>0.9375</v>
      </c>
      <c r="K47">
        <v>338</v>
      </c>
    </row>
    <row r="48" spans="1:11" x14ac:dyDescent="0.3">
      <c r="A48">
        <v>0.88888888888888895</v>
      </c>
      <c r="B48">
        <v>0.25</v>
      </c>
      <c r="C48">
        <v>4</v>
      </c>
      <c r="D48">
        <v>5</v>
      </c>
      <c r="E48">
        <v>1</v>
      </c>
      <c r="F48">
        <v>0.73333333333333295</v>
      </c>
      <c r="G48">
        <v>0.93333333333333302</v>
      </c>
      <c r="H48">
        <v>1</v>
      </c>
      <c r="I48">
        <v>0.81481481481481499</v>
      </c>
      <c r="J48">
        <v>0.84848484848484895</v>
      </c>
      <c r="K48">
        <v>363</v>
      </c>
    </row>
    <row r="49" spans="1:11" x14ac:dyDescent="0.3">
      <c r="A49">
        <v>0.95555555555555605</v>
      </c>
      <c r="B49">
        <v>0.25</v>
      </c>
      <c r="C49">
        <v>3</v>
      </c>
      <c r="D49">
        <v>4</v>
      </c>
      <c r="E49">
        <v>1</v>
      </c>
      <c r="F49">
        <v>0.86666666666666703</v>
      </c>
      <c r="G49">
        <v>1</v>
      </c>
      <c r="H49">
        <v>1</v>
      </c>
      <c r="I49">
        <v>0.92857142857142905</v>
      </c>
      <c r="J49">
        <v>0.9375</v>
      </c>
      <c r="K49">
        <v>88</v>
      </c>
    </row>
    <row r="50" spans="1:11" x14ac:dyDescent="0.3">
      <c r="A50">
        <v>0.93333333333333302</v>
      </c>
      <c r="B50">
        <v>4</v>
      </c>
      <c r="C50">
        <v>2</v>
      </c>
      <c r="D50">
        <v>3</v>
      </c>
      <c r="E50">
        <v>1</v>
      </c>
      <c r="F50">
        <v>0.93333333333333302</v>
      </c>
      <c r="G50">
        <v>0.86666666666666703</v>
      </c>
      <c r="H50">
        <v>1</v>
      </c>
      <c r="I50">
        <v>0.90322580645161299</v>
      </c>
      <c r="J50">
        <v>0.89655172413793105</v>
      </c>
      <c r="K50">
        <v>280</v>
      </c>
    </row>
    <row r="51" spans="1:11" x14ac:dyDescent="0.3">
      <c r="A51">
        <v>0.88888888888888895</v>
      </c>
      <c r="B51">
        <v>4</v>
      </c>
      <c r="C51">
        <v>2</v>
      </c>
      <c r="D51">
        <v>3</v>
      </c>
      <c r="E51">
        <v>1</v>
      </c>
      <c r="F51">
        <v>0.86666666666666703</v>
      </c>
      <c r="G51">
        <v>0.8</v>
      </c>
      <c r="H51">
        <v>1</v>
      </c>
      <c r="I51">
        <v>0.83870967741935498</v>
      </c>
      <c r="J51">
        <v>0.82758620689655205</v>
      </c>
      <c r="K51">
        <v>404</v>
      </c>
    </row>
    <row r="52" spans="1:11" x14ac:dyDescent="0.3">
      <c r="A52">
        <v>0.93333333333333302</v>
      </c>
      <c r="B52">
        <v>1.25</v>
      </c>
      <c r="C52">
        <v>4</v>
      </c>
      <c r="D52">
        <v>6</v>
      </c>
      <c r="E52">
        <v>1</v>
      </c>
      <c r="F52">
        <v>1</v>
      </c>
      <c r="G52">
        <v>0.8</v>
      </c>
      <c r="H52">
        <v>1</v>
      </c>
      <c r="I52">
        <v>0.90909090909090895</v>
      </c>
      <c r="J52">
        <v>0.88888888888888895</v>
      </c>
      <c r="K52">
        <v>604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2"/>
  <sheetViews>
    <sheetView workbookViewId="0">
      <selection sqref="A1:A1048576"/>
    </sheetView>
  </sheetViews>
  <sheetFormatPr defaultColWidth="11.5546875" defaultRowHeight="14.4" x14ac:dyDescent="0.3"/>
  <cols>
    <col min="2" max="3" width="23.5546875" customWidth="1"/>
  </cols>
  <sheetData>
    <row r="1" spans="1:12" x14ac:dyDescent="0.3">
      <c r="A1" t="s">
        <v>0</v>
      </c>
      <c r="B1" t="s">
        <v>10</v>
      </c>
      <c r="C1" t="s">
        <v>11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12</v>
      </c>
    </row>
    <row r="2" spans="1:12" x14ac:dyDescent="0.3">
      <c r="A2">
        <v>0.97777777777777797</v>
      </c>
      <c r="B2">
        <v>1.25</v>
      </c>
      <c r="C2">
        <v>3</v>
      </c>
      <c r="D2">
        <v>3</v>
      </c>
      <c r="E2">
        <v>4</v>
      </c>
      <c r="F2">
        <v>1</v>
      </c>
      <c r="G2">
        <v>0.93333333333333302</v>
      </c>
      <c r="H2">
        <v>1</v>
      </c>
      <c r="I2">
        <v>1</v>
      </c>
      <c r="J2">
        <v>0.96551724137931005</v>
      </c>
      <c r="K2">
        <v>0.967741935483871</v>
      </c>
      <c r="L2">
        <v>919</v>
      </c>
    </row>
    <row r="3" spans="1:12" x14ac:dyDescent="0.3">
      <c r="A3">
        <v>0.93333333333333302</v>
      </c>
      <c r="B3">
        <v>0.25</v>
      </c>
      <c r="C3">
        <v>0.25</v>
      </c>
      <c r="D3">
        <v>6</v>
      </c>
      <c r="E3">
        <v>7</v>
      </c>
      <c r="F3">
        <v>1</v>
      </c>
      <c r="G3">
        <v>0.93333333333333302</v>
      </c>
      <c r="H3">
        <v>0.86666666666666703</v>
      </c>
      <c r="I3">
        <v>1</v>
      </c>
      <c r="J3">
        <v>0.90322580645161299</v>
      </c>
      <c r="K3">
        <v>0.89655172413793105</v>
      </c>
      <c r="L3">
        <v>917</v>
      </c>
    </row>
    <row r="4" spans="1:12" x14ac:dyDescent="0.3">
      <c r="A4">
        <v>0.97777777777777797</v>
      </c>
      <c r="B4">
        <v>2.5</v>
      </c>
      <c r="C4">
        <v>0.25</v>
      </c>
      <c r="D4">
        <v>3</v>
      </c>
      <c r="E4">
        <v>4</v>
      </c>
      <c r="F4">
        <v>1</v>
      </c>
      <c r="G4">
        <v>0.93333333333333302</v>
      </c>
      <c r="H4">
        <v>1</v>
      </c>
      <c r="I4">
        <v>1</v>
      </c>
      <c r="J4">
        <v>0.96551724137931005</v>
      </c>
      <c r="K4">
        <v>0.967741935483871</v>
      </c>
      <c r="L4">
        <v>359</v>
      </c>
    </row>
    <row r="5" spans="1:12" x14ac:dyDescent="0.3">
      <c r="A5">
        <v>0.97777777777777797</v>
      </c>
      <c r="B5">
        <v>2.5</v>
      </c>
      <c r="C5">
        <v>0.25</v>
      </c>
      <c r="D5">
        <v>3</v>
      </c>
      <c r="E5">
        <v>4</v>
      </c>
      <c r="F5">
        <v>1</v>
      </c>
      <c r="G5">
        <v>1</v>
      </c>
      <c r="H5">
        <v>0.93333333333333302</v>
      </c>
      <c r="I5">
        <v>1</v>
      </c>
      <c r="J5">
        <v>0.967741935483871</v>
      </c>
      <c r="K5">
        <v>0.96551724137931005</v>
      </c>
      <c r="L5">
        <v>575</v>
      </c>
    </row>
    <row r="6" spans="1:12" x14ac:dyDescent="0.3">
      <c r="A6">
        <v>0.88888888888888895</v>
      </c>
      <c r="B6">
        <v>0.25</v>
      </c>
      <c r="C6">
        <v>0.25</v>
      </c>
      <c r="D6">
        <v>4</v>
      </c>
      <c r="E6">
        <v>5</v>
      </c>
      <c r="F6">
        <v>1</v>
      </c>
      <c r="G6">
        <v>0.8</v>
      </c>
      <c r="H6">
        <v>0.86666666666666703</v>
      </c>
      <c r="I6">
        <v>1</v>
      </c>
      <c r="J6">
        <v>0.82758620689655205</v>
      </c>
      <c r="K6">
        <v>0.83870967741935498</v>
      </c>
      <c r="L6">
        <v>247</v>
      </c>
    </row>
    <row r="7" spans="1:12" x14ac:dyDescent="0.3">
      <c r="A7">
        <v>0.93333333333333302</v>
      </c>
      <c r="B7">
        <v>0.75</v>
      </c>
      <c r="C7">
        <v>0.25</v>
      </c>
      <c r="D7">
        <v>3</v>
      </c>
      <c r="E7">
        <v>4</v>
      </c>
      <c r="F7">
        <v>1</v>
      </c>
      <c r="G7">
        <v>0.93333333333333302</v>
      </c>
      <c r="H7">
        <v>0.86666666666666703</v>
      </c>
      <c r="I7">
        <v>1</v>
      </c>
      <c r="J7">
        <v>0.90322580645161299</v>
      </c>
      <c r="K7">
        <v>0.89655172413793105</v>
      </c>
      <c r="L7">
        <v>215</v>
      </c>
    </row>
    <row r="8" spans="1:12" x14ac:dyDescent="0.3">
      <c r="A8">
        <v>0.97777777777777797</v>
      </c>
      <c r="B8">
        <v>2.5</v>
      </c>
      <c r="C8">
        <v>0.25</v>
      </c>
      <c r="D8">
        <v>3</v>
      </c>
      <c r="E8">
        <v>4</v>
      </c>
      <c r="F8">
        <v>1</v>
      </c>
      <c r="G8">
        <v>0.93333333333333302</v>
      </c>
      <c r="H8">
        <v>1</v>
      </c>
      <c r="I8">
        <v>1</v>
      </c>
      <c r="J8">
        <v>0.96551724137931005</v>
      </c>
      <c r="K8">
        <v>0.967741935483871</v>
      </c>
      <c r="L8">
        <v>926</v>
      </c>
    </row>
    <row r="9" spans="1:12" x14ac:dyDescent="0.3">
      <c r="A9">
        <v>0.93333333333333302</v>
      </c>
      <c r="B9">
        <v>0.5</v>
      </c>
      <c r="C9">
        <v>0.25</v>
      </c>
      <c r="D9">
        <v>5</v>
      </c>
      <c r="E9">
        <v>6</v>
      </c>
      <c r="F9">
        <v>1</v>
      </c>
      <c r="G9">
        <v>0.86666666666666703</v>
      </c>
      <c r="H9">
        <v>0.93333333333333302</v>
      </c>
      <c r="I9">
        <v>1</v>
      </c>
      <c r="J9">
        <v>0.89655172413793105</v>
      </c>
      <c r="K9">
        <v>0.90322580645161299</v>
      </c>
      <c r="L9">
        <v>756</v>
      </c>
    </row>
    <row r="10" spans="1:12" x14ac:dyDescent="0.3">
      <c r="A10">
        <v>0.91111111111111098</v>
      </c>
      <c r="B10">
        <v>2.5</v>
      </c>
      <c r="C10">
        <v>0.25</v>
      </c>
      <c r="D10">
        <v>2</v>
      </c>
      <c r="E10">
        <v>3</v>
      </c>
      <c r="F10">
        <v>1</v>
      </c>
      <c r="G10">
        <v>0.93333333333333302</v>
      </c>
      <c r="H10">
        <v>0.8</v>
      </c>
      <c r="I10">
        <v>1</v>
      </c>
      <c r="J10">
        <v>0.875</v>
      </c>
      <c r="K10">
        <v>0.85714285714285698</v>
      </c>
      <c r="L10">
        <v>781</v>
      </c>
    </row>
    <row r="11" spans="1:12" x14ac:dyDescent="0.3">
      <c r="A11">
        <v>0.93333333333333302</v>
      </c>
      <c r="B11">
        <v>0.75</v>
      </c>
      <c r="C11">
        <v>2.5</v>
      </c>
      <c r="D11">
        <v>4</v>
      </c>
      <c r="E11">
        <v>5</v>
      </c>
      <c r="F11">
        <v>1</v>
      </c>
      <c r="G11">
        <v>0.93333333333333302</v>
      </c>
      <c r="H11">
        <v>0.86666666666666703</v>
      </c>
      <c r="I11">
        <v>1</v>
      </c>
      <c r="J11">
        <v>0.90322580645161299</v>
      </c>
      <c r="K11">
        <v>0.89655172413793105</v>
      </c>
      <c r="L11">
        <v>467</v>
      </c>
    </row>
    <row r="12" spans="1:12" x14ac:dyDescent="0.3">
      <c r="A12">
        <v>0.97777777777777797</v>
      </c>
      <c r="B12">
        <v>3</v>
      </c>
      <c r="C12">
        <v>0.25</v>
      </c>
      <c r="D12">
        <v>3</v>
      </c>
      <c r="E12">
        <v>4</v>
      </c>
      <c r="F12">
        <v>1</v>
      </c>
      <c r="G12">
        <v>0.93333333333333302</v>
      </c>
      <c r="H12">
        <v>1</v>
      </c>
      <c r="I12">
        <v>1</v>
      </c>
      <c r="J12">
        <v>0.96551724137931005</v>
      </c>
      <c r="K12">
        <v>0.967741935483871</v>
      </c>
      <c r="L12">
        <v>122</v>
      </c>
    </row>
    <row r="13" spans="1:12" x14ac:dyDescent="0.3">
      <c r="A13">
        <v>0.93333333333333302</v>
      </c>
      <c r="B13">
        <v>2.5</v>
      </c>
      <c r="C13">
        <v>0.25</v>
      </c>
      <c r="D13">
        <v>2</v>
      </c>
      <c r="E13">
        <v>3</v>
      </c>
      <c r="F13">
        <v>1</v>
      </c>
      <c r="G13">
        <v>0.93333333333333302</v>
      </c>
      <c r="H13">
        <v>0.86666666666666703</v>
      </c>
      <c r="I13">
        <v>1</v>
      </c>
      <c r="J13">
        <v>0.90322580645161299</v>
      </c>
      <c r="K13">
        <v>0.89655172413793105</v>
      </c>
      <c r="L13">
        <v>851</v>
      </c>
    </row>
    <row r="14" spans="1:12" x14ac:dyDescent="0.3">
      <c r="A14">
        <v>0.95555555555555605</v>
      </c>
      <c r="B14">
        <v>0.25</v>
      </c>
      <c r="C14">
        <v>0.25</v>
      </c>
      <c r="D14">
        <v>3</v>
      </c>
      <c r="E14">
        <v>4</v>
      </c>
      <c r="F14">
        <v>1</v>
      </c>
      <c r="G14">
        <v>0.86666666666666703</v>
      </c>
      <c r="H14">
        <v>1</v>
      </c>
      <c r="I14">
        <v>1</v>
      </c>
      <c r="J14">
        <v>0.92857142857142905</v>
      </c>
      <c r="K14">
        <v>0.9375</v>
      </c>
      <c r="L14">
        <v>217</v>
      </c>
    </row>
    <row r="15" spans="1:12" x14ac:dyDescent="0.3">
      <c r="A15">
        <v>0.91111111111111098</v>
      </c>
      <c r="B15">
        <v>0.25</v>
      </c>
      <c r="C15">
        <v>0.25</v>
      </c>
      <c r="D15">
        <v>4</v>
      </c>
      <c r="E15">
        <v>5</v>
      </c>
      <c r="F15">
        <v>1</v>
      </c>
      <c r="G15">
        <v>0.86666666666666703</v>
      </c>
      <c r="H15">
        <v>0.86666666666666703</v>
      </c>
      <c r="I15">
        <v>1</v>
      </c>
      <c r="J15">
        <v>0.86666666666666703</v>
      </c>
      <c r="K15">
        <v>0.86666666666666703</v>
      </c>
      <c r="L15">
        <v>573</v>
      </c>
    </row>
    <row r="16" spans="1:12" x14ac:dyDescent="0.3">
      <c r="A16">
        <v>1</v>
      </c>
      <c r="B16">
        <v>3.25</v>
      </c>
      <c r="C16">
        <v>0.25</v>
      </c>
      <c r="D16">
        <v>3</v>
      </c>
      <c r="E16">
        <v>4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599</v>
      </c>
    </row>
    <row r="17" spans="1:12" x14ac:dyDescent="0.3">
      <c r="A17">
        <v>0.91111111111111098</v>
      </c>
      <c r="B17">
        <v>0.5</v>
      </c>
      <c r="C17">
        <v>0.25</v>
      </c>
      <c r="D17">
        <v>5</v>
      </c>
      <c r="E17">
        <v>7</v>
      </c>
      <c r="F17">
        <v>1</v>
      </c>
      <c r="G17">
        <v>0.8</v>
      </c>
      <c r="H17">
        <v>0.93333333333333302</v>
      </c>
      <c r="I17">
        <v>1</v>
      </c>
      <c r="J17">
        <v>0.85714285714285698</v>
      </c>
      <c r="K17">
        <v>0.875</v>
      </c>
      <c r="L17">
        <v>533</v>
      </c>
    </row>
    <row r="18" spans="1:12" x14ac:dyDescent="0.3">
      <c r="A18">
        <v>0.91111111111111098</v>
      </c>
      <c r="B18">
        <v>3</v>
      </c>
      <c r="C18">
        <v>0.25</v>
      </c>
      <c r="D18">
        <v>4</v>
      </c>
      <c r="E18">
        <v>5</v>
      </c>
      <c r="F18">
        <v>1</v>
      </c>
      <c r="G18">
        <v>0.93333333333333302</v>
      </c>
      <c r="H18">
        <v>0.8</v>
      </c>
      <c r="I18">
        <v>1</v>
      </c>
      <c r="J18">
        <v>0.875</v>
      </c>
      <c r="K18">
        <v>0.85714285714285698</v>
      </c>
      <c r="L18">
        <v>631</v>
      </c>
    </row>
    <row r="19" spans="1:12" x14ac:dyDescent="0.3">
      <c r="A19">
        <v>0.93333333333333302</v>
      </c>
      <c r="B19">
        <v>3.25</v>
      </c>
      <c r="C19">
        <v>0.5</v>
      </c>
      <c r="D19">
        <v>2</v>
      </c>
      <c r="E19">
        <v>3</v>
      </c>
      <c r="F19">
        <v>1</v>
      </c>
      <c r="G19">
        <v>0.86666666666666703</v>
      </c>
      <c r="H19">
        <v>0.93333333333333302</v>
      </c>
      <c r="I19">
        <v>1</v>
      </c>
      <c r="J19">
        <v>0.89655172413793105</v>
      </c>
      <c r="K19">
        <v>0.90322580645161299</v>
      </c>
      <c r="L19">
        <v>516</v>
      </c>
    </row>
    <row r="20" spans="1:12" x14ac:dyDescent="0.3">
      <c r="A20">
        <v>0.97777777777777797</v>
      </c>
      <c r="B20">
        <v>1.25</v>
      </c>
      <c r="C20">
        <v>0.25</v>
      </c>
      <c r="D20">
        <v>5</v>
      </c>
      <c r="E20">
        <v>6</v>
      </c>
      <c r="F20">
        <v>1</v>
      </c>
      <c r="G20">
        <v>1</v>
      </c>
      <c r="H20">
        <v>0.93333333333333302</v>
      </c>
      <c r="I20">
        <v>1</v>
      </c>
      <c r="J20">
        <v>0.967741935483871</v>
      </c>
      <c r="K20">
        <v>0.96551724137931005</v>
      </c>
      <c r="L20">
        <v>686</v>
      </c>
    </row>
    <row r="21" spans="1:12" x14ac:dyDescent="0.3">
      <c r="A21">
        <v>1</v>
      </c>
      <c r="B21">
        <v>3</v>
      </c>
      <c r="C21">
        <v>0.5</v>
      </c>
      <c r="D21">
        <v>3</v>
      </c>
      <c r="E21">
        <v>4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94</v>
      </c>
    </row>
    <row r="22" spans="1:12" x14ac:dyDescent="0.3">
      <c r="A22">
        <v>0.93333333333333302</v>
      </c>
      <c r="B22">
        <v>2</v>
      </c>
      <c r="C22">
        <v>0.25</v>
      </c>
      <c r="D22">
        <v>4</v>
      </c>
      <c r="E22">
        <v>6</v>
      </c>
      <c r="F22">
        <v>1</v>
      </c>
      <c r="G22">
        <v>0.86666666666666703</v>
      </c>
      <c r="H22">
        <v>0.93333333333333302</v>
      </c>
      <c r="I22">
        <v>1</v>
      </c>
      <c r="J22">
        <v>0.89655172413793105</v>
      </c>
      <c r="K22">
        <v>0.90322580645161299</v>
      </c>
      <c r="L22">
        <v>154</v>
      </c>
    </row>
    <row r="23" spans="1:12" x14ac:dyDescent="0.3">
      <c r="A23">
        <v>0.95555555555555605</v>
      </c>
      <c r="B23">
        <v>3.25</v>
      </c>
      <c r="C23">
        <v>0.75</v>
      </c>
      <c r="D23">
        <v>2</v>
      </c>
      <c r="E23">
        <v>3</v>
      </c>
      <c r="F23">
        <v>1</v>
      </c>
      <c r="G23">
        <v>1</v>
      </c>
      <c r="H23">
        <v>0.86666666666666703</v>
      </c>
      <c r="I23">
        <v>1</v>
      </c>
      <c r="J23">
        <v>0.9375</v>
      </c>
      <c r="K23">
        <v>0.92857142857142905</v>
      </c>
      <c r="L23">
        <v>937</v>
      </c>
    </row>
    <row r="24" spans="1:12" x14ac:dyDescent="0.3">
      <c r="A24">
        <v>0.97777777777777797</v>
      </c>
      <c r="B24">
        <v>1.5</v>
      </c>
      <c r="C24">
        <v>0.25</v>
      </c>
      <c r="D24">
        <v>5</v>
      </c>
      <c r="E24">
        <v>6</v>
      </c>
      <c r="F24">
        <v>1</v>
      </c>
      <c r="G24">
        <v>1</v>
      </c>
      <c r="H24">
        <v>0.93333333333333302</v>
      </c>
      <c r="I24">
        <v>1</v>
      </c>
      <c r="J24">
        <v>0.967741935483871</v>
      </c>
      <c r="K24">
        <v>0.96551724137931005</v>
      </c>
      <c r="L24">
        <v>375</v>
      </c>
    </row>
    <row r="25" spans="1:12" x14ac:dyDescent="0.3">
      <c r="A25">
        <v>0.93333333333333302</v>
      </c>
      <c r="B25">
        <v>0.25</v>
      </c>
      <c r="C25">
        <v>0.25</v>
      </c>
      <c r="D25">
        <v>3</v>
      </c>
      <c r="E25">
        <v>4</v>
      </c>
      <c r="F25">
        <v>1</v>
      </c>
      <c r="G25">
        <v>0.93333333333333302</v>
      </c>
      <c r="H25">
        <v>0.86666666666666703</v>
      </c>
      <c r="I25">
        <v>1</v>
      </c>
      <c r="J25">
        <v>0.90322580645161299</v>
      </c>
      <c r="K25">
        <v>0.89655172413793105</v>
      </c>
      <c r="L25">
        <v>311</v>
      </c>
    </row>
    <row r="26" spans="1:12" x14ac:dyDescent="0.3">
      <c r="A26">
        <v>0.91111111111111098</v>
      </c>
      <c r="B26">
        <v>2</v>
      </c>
      <c r="C26">
        <v>0.25</v>
      </c>
      <c r="D26">
        <v>3</v>
      </c>
      <c r="E26">
        <v>4</v>
      </c>
      <c r="F26">
        <v>1</v>
      </c>
      <c r="G26">
        <v>0.73333333333333295</v>
      </c>
      <c r="H26">
        <v>1</v>
      </c>
      <c r="I26">
        <v>1</v>
      </c>
      <c r="J26">
        <v>0.84615384615384603</v>
      </c>
      <c r="K26">
        <v>0.88235294117647101</v>
      </c>
      <c r="L26">
        <v>793</v>
      </c>
    </row>
    <row r="27" spans="1:12" x14ac:dyDescent="0.3">
      <c r="A27">
        <v>0.93333333333333302</v>
      </c>
      <c r="B27">
        <v>2.5</v>
      </c>
      <c r="C27">
        <v>0.25</v>
      </c>
      <c r="D27">
        <v>3</v>
      </c>
      <c r="E27">
        <v>4</v>
      </c>
      <c r="F27">
        <v>1</v>
      </c>
      <c r="G27">
        <v>0.86666666666666703</v>
      </c>
      <c r="H27">
        <v>0.93333333333333302</v>
      </c>
      <c r="I27">
        <v>1</v>
      </c>
      <c r="J27">
        <v>0.89655172413793105</v>
      </c>
      <c r="K27">
        <v>0.90322580645161299</v>
      </c>
      <c r="L27">
        <v>769</v>
      </c>
    </row>
    <row r="28" spans="1:12" x14ac:dyDescent="0.3">
      <c r="A28">
        <v>0.91111111111111098</v>
      </c>
      <c r="B28">
        <v>0.75</v>
      </c>
      <c r="C28">
        <v>1.25</v>
      </c>
      <c r="D28">
        <v>4</v>
      </c>
      <c r="E28">
        <v>6</v>
      </c>
      <c r="F28">
        <v>0.86666666666666703</v>
      </c>
      <c r="G28">
        <v>0.93333333333333302</v>
      </c>
      <c r="H28">
        <v>0.93333333333333302</v>
      </c>
      <c r="I28">
        <v>0.92857142857142905</v>
      </c>
      <c r="J28">
        <v>0.875</v>
      </c>
      <c r="K28">
        <v>0.93333333333333302</v>
      </c>
      <c r="L28">
        <v>433</v>
      </c>
    </row>
    <row r="29" spans="1:12" x14ac:dyDescent="0.3">
      <c r="A29">
        <v>0.93333333333333302</v>
      </c>
      <c r="B29">
        <v>0.25</v>
      </c>
      <c r="C29">
        <v>0.25</v>
      </c>
      <c r="D29">
        <v>4</v>
      </c>
      <c r="E29">
        <v>5</v>
      </c>
      <c r="F29">
        <v>1</v>
      </c>
      <c r="G29">
        <v>0.93333333333333302</v>
      </c>
      <c r="H29">
        <v>0.86666666666666703</v>
      </c>
      <c r="I29">
        <v>1</v>
      </c>
      <c r="J29">
        <v>0.90322580645161299</v>
      </c>
      <c r="K29">
        <v>0.89655172413793105</v>
      </c>
      <c r="L29">
        <v>636</v>
      </c>
    </row>
    <row r="30" spans="1:12" x14ac:dyDescent="0.3">
      <c r="A30">
        <v>0.97777777777777797</v>
      </c>
      <c r="B30">
        <v>2.5</v>
      </c>
      <c r="C30">
        <v>0.25</v>
      </c>
      <c r="D30">
        <v>3</v>
      </c>
      <c r="E30">
        <v>4</v>
      </c>
      <c r="F30">
        <v>1</v>
      </c>
      <c r="G30">
        <v>1</v>
      </c>
      <c r="H30">
        <v>0.93333333333333302</v>
      </c>
      <c r="I30">
        <v>1</v>
      </c>
      <c r="J30">
        <v>0.967741935483871</v>
      </c>
      <c r="K30">
        <v>0.96551724137931005</v>
      </c>
      <c r="L30">
        <v>695</v>
      </c>
    </row>
    <row r="31" spans="1:12" x14ac:dyDescent="0.3">
      <c r="A31">
        <v>0.88888888888888895</v>
      </c>
      <c r="B31">
        <v>2.5</v>
      </c>
      <c r="C31">
        <v>0.25</v>
      </c>
      <c r="D31">
        <v>2</v>
      </c>
      <c r="E31">
        <v>3</v>
      </c>
      <c r="F31">
        <v>1</v>
      </c>
      <c r="G31">
        <v>0.86666666666666703</v>
      </c>
      <c r="H31">
        <v>0.8</v>
      </c>
      <c r="I31">
        <v>1</v>
      </c>
      <c r="J31">
        <v>0.83870967741935498</v>
      </c>
      <c r="K31">
        <v>0.82758620689655205</v>
      </c>
      <c r="L31">
        <v>525</v>
      </c>
    </row>
    <row r="32" spans="1:12" x14ac:dyDescent="0.3">
      <c r="A32">
        <v>0.95555555555555605</v>
      </c>
      <c r="B32">
        <v>0.5</v>
      </c>
      <c r="C32">
        <v>1.25</v>
      </c>
      <c r="D32">
        <v>4</v>
      </c>
      <c r="E32">
        <v>5</v>
      </c>
      <c r="F32">
        <v>1</v>
      </c>
      <c r="G32">
        <v>0.93333333333333302</v>
      </c>
      <c r="H32">
        <v>0.93333333333333302</v>
      </c>
      <c r="I32">
        <v>1</v>
      </c>
      <c r="J32">
        <v>0.93333333333333302</v>
      </c>
      <c r="K32">
        <v>0.93333333333333302</v>
      </c>
      <c r="L32">
        <v>177</v>
      </c>
    </row>
    <row r="33" spans="1:12" x14ac:dyDescent="0.3">
      <c r="A33">
        <v>0.97777777777777797</v>
      </c>
      <c r="B33">
        <v>2.5</v>
      </c>
      <c r="C33">
        <v>0.25</v>
      </c>
      <c r="D33">
        <v>3</v>
      </c>
      <c r="E33">
        <v>4</v>
      </c>
      <c r="F33">
        <v>1</v>
      </c>
      <c r="G33">
        <v>0.93333333333333302</v>
      </c>
      <c r="H33">
        <v>1</v>
      </c>
      <c r="I33">
        <v>1</v>
      </c>
      <c r="J33">
        <v>0.96551724137931005</v>
      </c>
      <c r="K33">
        <v>0.967741935483871</v>
      </c>
      <c r="L33">
        <v>625</v>
      </c>
    </row>
    <row r="34" spans="1:12" x14ac:dyDescent="0.3">
      <c r="A34">
        <v>0.91111111111111098</v>
      </c>
      <c r="B34">
        <v>3</v>
      </c>
      <c r="C34">
        <v>0.25</v>
      </c>
      <c r="D34">
        <v>3</v>
      </c>
      <c r="E34">
        <v>4</v>
      </c>
      <c r="F34">
        <v>0.86666666666666703</v>
      </c>
      <c r="G34">
        <v>0.93333333333333302</v>
      </c>
      <c r="H34">
        <v>0.93333333333333302</v>
      </c>
      <c r="I34">
        <v>0.92857142857142905</v>
      </c>
      <c r="J34">
        <v>0.875</v>
      </c>
      <c r="K34">
        <v>0.93333333333333302</v>
      </c>
      <c r="L34">
        <v>417</v>
      </c>
    </row>
    <row r="35" spans="1:12" x14ac:dyDescent="0.3">
      <c r="A35">
        <v>0.97777777777777797</v>
      </c>
      <c r="B35">
        <v>2.5</v>
      </c>
      <c r="C35">
        <v>0.25</v>
      </c>
      <c r="D35">
        <v>3</v>
      </c>
      <c r="E35">
        <v>4</v>
      </c>
      <c r="F35">
        <v>1</v>
      </c>
      <c r="G35">
        <v>0.93333333333333302</v>
      </c>
      <c r="H35">
        <v>1</v>
      </c>
      <c r="I35">
        <v>1</v>
      </c>
      <c r="J35">
        <v>0.96551724137931005</v>
      </c>
      <c r="K35">
        <v>0.967741935483871</v>
      </c>
      <c r="L35">
        <v>541</v>
      </c>
    </row>
    <row r="36" spans="1:12" x14ac:dyDescent="0.3">
      <c r="A36">
        <v>0.88888888888888895</v>
      </c>
      <c r="B36">
        <v>2.5</v>
      </c>
      <c r="C36">
        <v>0.25</v>
      </c>
      <c r="D36">
        <v>2</v>
      </c>
      <c r="E36">
        <v>3</v>
      </c>
      <c r="F36">
        <v>1</v>
      </c>
      <c r="G36">
        <v>0.93333333333333302</v>
      </c>
      <c r="H36">
        <v>0.73333333333333295</v>
      </c>
      <c r="I36">
        <v>1</v>
      </c>
      <c r="J36">
        <v>0.84848484848484895</v>
      </c>
      <c r="K36">
        <v>0.81481481481481499</v>
      </c>
      <c r="L36">
        <v>592</v>
      </c>
    </row>
    <row r="37" spans="1:12" x14ac:dyDescent="0.3">
      <c r="A37">
        <v>0.95555555555555605</v>
      </c>
      <c r="B37">
        <v>0.75</v>
      </c>
      <c r="C37">
        <v>0.75</v>
      </c>
      <c r="D37">
        <v>3</v>
      </c>
      <c r="E37">
        <v>4</v>
      </c>
      <c r="F37">
        <v>1</v>
      </c>
      <c r="G37">
        <v>0.93333333333333302</v>
      </c>
      <c r="H37">
        <v>0.93333333333333302</v>
      </c>
      <c r="I37">
        <v>1</v>
      </c>
      <c r="J37">
        <v>0.93333333333333302</v>
      </c>
      <c r="K37">
        <v>0.93333333333333302</v>
      </c>
      <c r="L37">
        <v>289</v>
      </c>
    </row>
    <row r="38" spans="1:12" x14ac:dyDescent="0.3">
      <c r="A38">
        <v>0.93333333333333302</v>
      </c>
      <c r="B38">
        <v>3.5</v>
      </c>
      <c r="C38">
        <v>0.75</v>
      </c>
      <c r="D38">
        <v>2</v>
      </c>
      <c r="E38">
        <v>3</v>
      </c>
      <c r="F38">
        <v>1</v>
      </c>
      <c r="G38">
        <v>0.86666666666666703</v>
      </c>
      <c r="H38">
        <v>0.93333333333333302</v>
      </c>
      <c r="I38">
        <v>1</v>
      </c>
      <c r="J38">
        <v>0.89655172413793105</v>
      </c>
      <c r="K38">
        <v>0.90322580645161299</v>
      </c>
      <c r="L38">
        <v>233</v>
      </c>
    </row>
    <row r="39" spans="1:12" x14ac:dyDescent="0.3">
      <c r="A39">
        <v>0.97777777777777797</v>
      </c>
      <c r="B39">
        <v>1.25</v>
      </c>
      <c r="C39">
        <v>3.75</v>
      </c>
      <c r="D39">
        <v>3</v>
      </c>
      <c r="E39">
        <v>4</v>
      </c>
      <c r="F39">
        <v>1</v>
      </c>
      <c r="G39">
        <v>0.93333333333333302</v>
      </c>
      <c r="H39">
        <v>1</v>
      </c>
      <c r="I39">
        <v>1</v>
      </c>
      <c r="J39">
        <v>0.96551724137931005</v>
      </c>
      <c r="K39">
        <v>0.967741935483871</v>
      </c>
      <c r="L39">
        <v>472</v>
      </c>
    </row>
    <row r="40" spans="1:12" x14ac:dyDescent="0.3">
      <c r="A40">
        <v>0.86666666666666703</v>
      </c>
      <c r="B40">
        <v>2.25</v>
      </c>
      <c r="C40">
        <v>0.25</v>
      </c>
      <c r="D40">
        <v>5</v>
      </c>
      <c r="E40">
        <v>6</v>
      </c>
      <c r="F40">
        <v>1</v>
      </c>
      <c r="G40">
        <v>1</v>
      </c>
      <c r="H40">
        <v>0.6</v>
      </c>
      <c r="I40">
        <v>1</v>
      </c>
      <c r="J40">
        <v>0.83333333333333304</v>
      </c>
      <c r="K40">
        <v>0.75</v>
      </c>
      <c r="L40">
        <v>219</v>
      </c>
    </row>
    <row r="41" spans="1:12" x14ac:dyDescent="0.3">
      <c r="A41">
        <v>0.95555555555555605</v>
      </c>
      <c r="B41">
        <v>0.25</v>
      </c>
      <c r="C41">
        <v>0.25</v>
      </c>
      <c r="D41">
        <v>3</v>
      </c>
      <c r="E41">
        <v>4</v>
      </c>
      <c r="F41">
        <v>1</v>
      </c>
      <c r="G41">
        <v>0.86666666666666703</v>
      </c>
      <c r="H41">
        <v>1</v>
      </c>
      <c r="I41">
        <v>1</v>
      </c>
      <c r="J41">
        <v>0.92857142857142905</v>
      </c>
      <c r="K41">
        <v>0.9375</v>
      </c>
      <c r="L41">
        <v>946</v>
      </c>
    </row>
    <row r="42" spans="1:12" x14ac:dyDescent="0.3">
      <c r="A42">
        <v>0.88888888888888895</v>
      </c>
      <c r="B42">
        <v>2.5</v>
      </c>
      <c r="C42">
        <v>0.25</v>
      </c>
      <c r="D42">
        <v>2</v>
      </c>
      <c r="E42">
        <v>3</v>
      </c>
      <c r="F42">
        <v>1</v>
      </c>
      <c r="G42">
        <v>0.73333333333333295</v>
      </c>
      <c r="H42">
        <v>0.93333333333333302</v>
      </c>
      <c r="I42">
        <v>1</v>
      </c>
      <c r="J42">
        <v>0.81481481481481499</v>
      </c>
      <c r="K42">
        <v>0.84848484848484895</v>
      </c>
      <c r="L42">
        <v>165</v>
      </c>
    </row>
    <row r="43" spans="1:12" x14ac:dyDescent="0.3">
      <c r="A43">
        <v>0.93333333333333302</v>
      </c>
      <c r="B43">
        <v>1.25</v>
      </c>
      <c r="C43">
        <v>2.5</v>
      </c>
      <c r="D43">
        <v>4</v>
      </c>
      <c r="E43">
        <v>6</v>
      </c>
      <c r="F43">
        <v>1</v>
      </c>
      <c r="G43">
        <v>1</v>
      </c>
      <c r="H43">
        <v>0.8</v>
      </c>
      <c r="I43">
        <v>1</v>
      </c>
      <c r="J43">
        <v>0.90909090909090895</v>
      </c>
      <c r="K43">
        <v>0.88888888888888895</v>
      </c>
      <c r="L43">
        <v>683</v>
      </c>
    </row>
    <row r="44" spans="1:12" x14ac:dyDescent="0.3">
      <c r="A44">
        <v>0.95555555555555605</v>
      </c>
      <c r="B44">
        <v>0.75</v>
      </c>
      <c r="C44">
        <v>0.25</v>
      </c>
      <c r="D44">
        <v>3</v>
      </c>
      <c r="E44">
        <v>4</v>
      </c>
      <c r="F44">
        <v>1</v>
      </c>
      <c r="G44">
        <v>0.86666666666666703</v>
      </c>
      <c r="H44">
        <v>1</v>
      </c>
      <c r="I44">
        <v>1</v>
      </c>
      <c r="J44">
        <v>0.92857142857142905</v>
      </c>
      <c r="K44">
        <v>0.9375</v>
      </c>
      <c r="L44">
        <v>527</v>
      </c>
    </row>
    <row r="45" spans="1:12" x14ac:dyDescent="0.3">
      <c r="A45">
        <v>0.97777777777777797</v>
      </c>
      <c r="B45">
        <v>2</v>
      </c>
      <c r="C45">
        <v>0.25</v>
      </c>
      <c r="D45">
        <v>5</v>
      </c>
      <c r="E45">
        <v>7</v>
      </c>
      <c r="F45">
        <v>1</v>
      </c>
      <c r="G45">
        <v>1</v>
      </c>
      <c r="H45">
        <v>0.93333333333333302</v>
      </c>
      <c r="I45">
        <v>1</v>
      </c>
      <c r="J45">
        <v>0.967741935483871</v>
      </c>
      <c r="K45">
        <v>0.96551724137931005</v>
      </c>
      <c r="L45">
        <v>576</v>
      </c>
    </row>
    <row r="46" spans="1:12" x14ac:dyDescent="0.3">
      <c r="A46">
        <v>0.97777777777777797</v>
      </c>
      <c r="B46">
        <v>2.5</v>
      </c>
      <c r="C46">
        <v>0.25</v>
      </c>
      <c r="D46">
        <v>3</v>
      </c>
      <c r="E46">
        <v>4</v>
      </c>
      <c r="F46">
        <v>1</v>
      </c>
      <c r="G46">
        <v>1</v>
      </c>
      <c r="H46">
        <v>0.93333333333333302</v>
      </c>
      <c r="I46">
        <v>1</v>
      </c>
      <c r="J46">
        <v>0.967741935483871</v>
      </c>
      <c r="K46">
        <v>0.96551724137931005</v>
      </c>
      <c r="L46">
        <v>460</v>
      </c>
    </row>
    <row r="47" spans="1:12" x14ac:dyDescent="0.3">
      <c r="A47">
        <v>0.95555555555555605</v>
      </c>
      <c r="B47">
        <v>3.75</v>
      </c>
      <c r="C47">
        <v>0.5</v>
      </c>
      <c r="D47">
        <v>3</v>
      </c>
      <c r="E47">
        <v>4</v>
      </c>
      <c r="F47">
        <v>1</v>
      </c>
      <c r="G47">
        <v>0.86666666666666703</v>
      </c>
      <c r="H47">
        <v>1</v>
      </c>
      <c r="I47">
        <v>1</v>
      </c>
      <c r="J47">
        <v>0.92857142857142905</v>
      </c>
      <c r="K47">
        <v>0.9375</v>
      </c>
      <c r="L47">
        <v>338</v>
      </c>
    </row>
    <row r="48" spans="1:12" x14ac:dyDescent="0.3">
      <c r="A48">
        <v>0.88888888888888895</v>
      </c>
      <c r="B48">
        <v>0.25</v>
      </c>
      <c r="C48">
        <v>0.25</v>
      </c>
      <c r="D48">
        <v>4</v>
      </c>
      <c r="E48">
        <v>5</v>
      </c>
      <c r="F48">
        <v>1</v>
      </c>
      <c r="G48">
        <v>0.73333333333333295</v>
      </c>
      <c r="H48">
        <v>0.93333333333333302</v>
      </c>
      <c r="I48">
        <v>1</v>
      </c>
      <c r="J48">
        <v>0.81481481481481499</v>
      </c>
      <c r="K48">
        <v>0.84848484848484895</v>
      </c>
      <c r="L48">
        <v>363</v>
      </c>
    </row>
    <row r="49" spans="1:12" x14ac:dyDescent="0.3">
      <c r="A49">
        <v>0.95555555555555605</v>
      </c>
      <c r="B49">
        <v>0.25</v>
      </c>
      <c r="C49">
        <v>0.25</v>
      </c>
      <c r="D49">
        <v>3</v>
      </c>
      <c r="E49">
        <v>4</v>
      </c>
      <c r="F49">
        <v>1</v>
      </c>
      <c r="G49">
        <v>0.86666666666666703</v>
      </c>
      <c r="H49">
        <v>1</v>
      </c>
      <c r="I49">
        <v>1</v>
      </c>
      <c r="J49">
        <v>0.92857142857142905</v>
      </c>
      <c r="K49">
        <v>0.9375</v>
      </c>
      <c r="L49">
        <v>88</v>
      </c>
    </row>
    <row r="50" spans="1:12" x14ac:dyDescent="0.3">
      <c r="A50">
        <v>0.93333333333333302</v>
      </c>
      <c r="B50">
        <v>2</v>
      </c>
      <c r="C50">
        <v>0.25</v>
      </c>
      <c r="D50">
        <v>4</v>
      </c>
      <c r="E50">
        <v>5</v>
      </c>
      <c r="F50">
        <v>1</v>
      </c>
      <c r="G50">
        <v>0.93333333333333302</v>
      </c>
      <c r="H50">
        <v>0.86666666666666703</v>
      </c>
      <c r="I50">
        <v>1</v>
      </c>
      <c r="J50">
        <v>0.90322580645161299</v>
      </c>
      <c r="K50">
        <v>0.89655172413793105</v>
      </c>
      <c r="L50">
        <v>280</v>
      </c>
    </row>
    <row r="51" spans="1:12" x14ac:dyDescent="0.3">
      <c r="A51">
        <v>0.88888888888888895</v>
      </c>
      <c r="B51">
        <v>2.5</v>
      </c>
      <c r="C51">
        <v>0.25</v>
      </c>
      <c r="D51">
        <v>2</v>
      </c>
      <c r="E51">
        <v>3</v>
      </c>
      <c r="F51">
        <v>1</v>
      </c>
      <c r="G51">
        <v>0.86666666666666703</v>
      </c>
      <c r="H51">
        <v>0.8</v>
      </c>
      <c r="I51">
        <v>1</v>
      </c>
      <c r="J51">
        <v>0.83870967741935498</v>
      </c>
      <c r="K51">
        <v>0.82758620689655205</v>
      </c>
      <c r="L51">
        <v>404</v>
      </c>
    </row>
    <row r="52" spans="1:12" x14ac:dyDescent="0.3">
      <c r="A52">
        <v>0.93333333333333302</v>
      </c>
      <c r="B52">
        <v>1.25</v>
      </c>
      <c r="C52">
        <v>2.5</v>
      </c>
      <c r="D52">
        <v>4</v>
      </c>
      <c r="E52">
        <v>6</v>
      </c>
      <c r="F52">
        <v>1</v>
      </c>
      <c r="G52">
        <v>1</v>
      </c>
      <c r="H52">
        <v>0.8</v>
      </c>
      <c r="I52">
        <v>1</v>
      </c>
      <c r="J52">
        <v>0.90909090909090895</v>
      </c>
      <c r="K52">
        <v>0.88888888888888895</v>
      </c>
      <c r="L52">
        <v>604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2"/>
  <sheetViews>
    <sheetView workbookViewId="0">
      <selection sqref="A1:A1048576"/>
    </sheetView>
  </sheetViews>
  <sheetFormatPr defaultColWidth="11.5546875" defaultRowHeight="14.4" x14ac:dyDescent="0.3"/>
  <cols>
    <col min="2" max="2" width="19.33203125" customWidth="1"/>
  </cols>
  <sheetData>
    <row r="1" spans="1:11" x14ac:dyDescent="0.3">
      <c r="A1" t="s">
        <v>0</v>
      </c>
      <c r="B1" t="s">
        <v>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12</v>
      </c>
    </row>
    <row r="2" spans="1:11" x14ac:dyDescent="0.3">
      <c r="A2">
        <v>0.97777777777777797</v>
      </c>
      <c r="B2">
        <v>0.25</v>
      </c>
      <c r="C2">
        <v>7</v>
      </c>
      <c r="D2">
        <v>8</v>
      </c>
      <c r="E2">
        <v>1</v>
      </c>
      <c r="F2">
        <v>0.93333333333333302</v>
      </c>
      <c r="G2">
        <v>1</v>
      </c>
      <c r="H2">
        <v>1</v>
      </c>
      <c r="I2">
        <v>0.96551724137931005</v>
      </c>
      <c r="J2">
        <v>0.967741935483871</v>
      </c>
      <c r="K2">
        <v>919</v>
      </c>
    </row>
    <row r="3" spans="1:11" x14ac:dyDescent="0.3">
      <c r="A3">
        <v>0.93333333333333302</v>
      </c>
      <c r="B3">
        <v>0.25</v>
      </c>
      <c r="C3">
        <v>6</v>
      </c>
      <c r="D3">
        <v>7</v>
      </c>
      <c r="E3">
        <v>1</v>
      </c>
      <c r="F3">
        <v>0.93333333333333302</v>
      </c>
      <c r="G3">
        <v>0.86666666666666703</v>
      </c>
      <c r="H3">
        <v>1</v>
      </c>
      <c r="I3">
        <v>0.90322580645161299</v>
      </c>
      <c r="J3">
        <v>0.89655172413793105</v>
      </c>
      <c r="K3">
        <v>917</v>
      </c>
    </row>
    <row r="4" spans="1:11" x14ac:dyDescent="0.3">
      <c r="A4">
        <v>0.97777777777777797</v>
      </c>
      <c r="B4">
        <v>2</v>
      </c>
      <c r="C4">
        <v>5</v>
      </c>
      <c r="D4">
        <v>6</v>
      </c>
      <c r="E4">
        <v>1</v>
      </c>
      <c r="F4">
        <v>0.93333333333333302</v>
      </c>
      <c r="G4">
        <v>1</v>
      </c>
      <c r="H4">
        <v>1</v>
      </c>
      <c r="I4">
        <v>0.96551724137931005</v>
      </c>
      <c r="J4">
        <v>0.967741935483871</v>
      </c>
      <c r="K4">
        <v>359</v>
      </c>
    </row>
    <row r="5" spans="1:11" x14ac:dyDescent="0.3">
      <c r="A5">
        <v>0.97777777777777797</v>
      </c>
      <c r="B5">
        <v>1.25</v>
      </c>
      <c r="C5">
        <v>4</v>
      </c>
      <c r="D5">
        <v>5</v>
      </c>
      <c r="E5">
        <v>1</v>
      </c>
      <c r="F5">
        <v>1</v>
      </c>
      <c r="G5">
        <v>0.93333333333333302</v>
      </c>
      <c r="H5">
        <v>1</v>
      </c>
      <c r="I5">
        <v>0.967741935483871</v>
      </c>
      <c r="J5">
        <v>0.96551724137931005</v>
      </c>
      <c r="K5">
        <v>575</v>
      </c>
    </row>
    <row r="6" spans="1:11" x14ac:dyDescent="0.3">
      <c r="A6">
        <v>0.88888888888888895</v>
      </c>
      <c r="B6">
        <v>0.25</v>
      </c>
      <c r="C6">
        <v>4</v>
      </c>
      <c r="D6">
        <v>5</v>
      </c>
      <c r="E6">
        <v>1</v>
      </c>
      <c r="F6">
        <v>0.8</v>
      </c>
      <c r="G6">
        <v>0.86666666666666703</v>
      </c>
      <c r="H6">
        <v>1</v>
      </c>
      <c r="I6">
        <v>0.82758620689655205</v>
      </c>
      <c r="J6">
        <v>0.83870967741935498</v>
      </c>
      <c r="K6">
        <v>247</v>
      </c>
    </row>
    <row r="7" spans="1:11" x14ac:dyDescent="0.3">
      <c r="A7">
        <v>0.93333333333333302</v>
      </c>
      <c r="B7">
        <v>0.25</v>
      </c>
      <c r="C7">
        <v>4</v>
      </c>
      <c r="D7">
        <v>5</v>
      </c>
      <c r="E7">
        <v>1</v>
      </c>
      <c r="F7">
        <v>0.93333333333333302</v>
      </c>
      <c r="G7">
        <v>0.86666666666666703</v>
      </c>
      <c r="H7">
        <v>1</v>
      </c>
      <c r="I7">
        <v>0.90322580645161299</v>
      </c>
      <c r="J7">
        <v>0.89655172413793105</v>
      </c>
      <c r="K7">
        <v>215</v>
      </c>
    </row>
    <row r="8" spans="1:11" x14ac:dyDescent="0.3">
      <c r="A8">
        <v>0.95555555555555605</v>
      </c>
      <c r="B8">
        <v>0.5</v>
      </c>
      <c r="C8">
        <v>5</v>
      </c>
      <c r="D8">
        <v>6</v>
      </c>
      <c r="E8">
        <v>1</v>
      </c>
      <c r="F8">
        <v>0.93333333333333302</v>
      </c>
      <c r="G8">
        <v>0.93333333333333302</v>
      </c>
      <c r="H8">
        <v>1</v>
      </c>
      <c r="I8">
        <v>0.93333333333333302</v>
      </c>
      <c r="J8">
        <v>0.93333333333333302</v>
      </c>
      <c r="K8">
        <v>926</v>
      </c>
    </row>
    <row r="9" spans="1:11" x14ac:dyDescent="0.3">
      <c r="A9">
        <v>0.93333333333333302</v>
      </c>
      <c r="B9">
        <v>0.25</v>
      </c>
      <c r="C9">
        <v>5</v>
      </c>
      <c r="D9">
        <v>6</v>
      </c>
      <c r="E9">
        <v>1</v>
      </c>
      <c r="F9">
        <v>0.86666666666666703</v>
      </c>
      <c r="G9">
        <v>0.93333333333333302</v>
      </c>
      <c r="H9">
        <v>1</v>
      </c>
      <c r="I9">
        <v>0.89655172413793105</v>
      </c>
      <c r="J9">
        <v>0.90322580645161299</v>
      </c>
      <c r="K9">
        <v>756</v>
      </c>
    </row>
    <row r="10" spans="1:11" x14ac:dyDescent="0.3">
      <c r="A10">
        <v>0.91111111111111098</v>
      </c>
      <c r="B10">
        <v>0.25</v>
      </c>
      <c r="C10">
        <v>4</v>
      </c>
      <c r="D10">
        <v>5</v>
      </c>
      <c r="E10">
        <v>1</v>
      </c>
      <c r="F10">
        <v>0.86666666666666703</v>
      </c>
      <c r="G10">
        <v>0.86666666666666703</v>
      </c>
      <c r="H10">
        <v>1</v>
      </c>
      <c r="I10">
        <v>0.86666666666666703</v>
      </c>
      <c r="J10">
        <v>0.86666666666666703</v>
      </c>
      <c r="K10">
        <v>781</v>
      </c>
    </row>
    <row r="11" spans="1:11" x14ac:dyDescent="0.3">
      <c r="A11">
        <v>0.95555555555555605</v>
      </c>
      <c r="B11">
        <v>0.25</v>
      </c>
      <c r="C11">
        <v>5</v>
      </c>
      <c r="D11">
        <v>6</v>
      </c>
      <c r="E11">
        <v>1</v>
      </c>
      <c r="F11">
        <v>0.93333333333333302</v>
      </c>
      <c r="G11">
        <v>0.93333333333333302</v>
      </c>
      <c r="H11">
        <v>1</v>
      </c>
      <c r="I11">
        <v>0.93333333333333302</v>
      </c>
      <c r="J11">
        <v>0.93333333333333302</v>
      </c>
      <c r="K11">
        <v>467</v>
      </c>
    </row>
    <row r="12" spans="1:11" x14ac:dyDescent="0.3">
      <c r="A12">
        <v>0.97777777777777797</v>
      </c>
      <c r="B12">
        <v>0.5</v>
      </c>
      <c r="C12">
        <v>6</v>
      </c>
      <c r="D12">
        <v>7</v>
      </c>
      <c r="E12">
        <v>1</v>
      </c>
      <c r="F12">
        <v>0.93333333333333302</v>
      </c>
      <c r="G12">
        <v>1</v>
      </c>
      <c r="H12">
        <v>1</v>
      </c>
      <c r="I12">
        <v>0.96551724137931005</v>
      </c>
      <c r="J12">
        <v>0.967741935483871</v>
      </c>
      <c r="K12">
        <v>122</v>
      </c>
    </row>
    <row r="13" spans="1:11" x14ac:dyDescent="0.3">
      <c r="A13">
        <v>0.93333333333333302</v>
      </c>
      <c r="B13">
        <v>1.25</v>
      </c>
      <c r="C13">
        <v>4</v>
      </c>
      <c r="D13">
        <v>5</v>
      </c>
      <c r="E13">
        <v>1</v>
      </c>
      <c r="F13">
        <v>0.93333333333333302</v>
      </c>
      <c r="G13">
        <v>0.86666666666666703</v>
      </c>
      <c r="H13">
        <v>1</v>
      </c>
      <c r="I13">
        <v>0.90322580645161299</v>
      </c>
      <c r="J13">
        <v>0.89655172413793105</v>
      </c>
      <c r="K13">
        <v>851</v>
      </c>
    </row>
    <row r="14" spans="1:11" x14ac:dyDescent="0.3">
      <c r="A14">
        <v>0.95555555555555605</v>
      </c>
      <c r="B14">
        <v>0.25</v>
      </c>
      <c r="C14">
        <v>3</v>
      </c>
      <c r="D14">
        <v>4</v>
      </c>
      <c r="E14">
        <v>1</v>
      </c>
      <c r="F14">
        <v>0.86666666666666703</v>
      </c>
      <c r="G14">
        <v>1</v>
      </c>
      <c r="H14">
        <v>1</v>
      </c>
      <c r="I14">
        <v>0.92857142857142905</v>
      </c>
      <c r="J14">
        <v>0.9375</v>
      </c>
      <c r="K14">
        <v>217</v>
      </c>
    </row>
    <row r="15" spans="1:11" x14ac:dyDescent="0.3">
      <c r="A15">
        <v>0.91111111111111098</v>
      </c>
      <c r="B15">
        <v>0.25</v>
      </c>
      <c r="C15">
        <v>4</v>
      </c>
      <c r="D15">
        <v>5</v>
      </c>
      <c r="E15">
        <v>1</v>
      </c>
      <c r="F15">
        <v>0.86666666666666703</v>
      </c>
      <c r="G15">
        <v>0.86666666666666703</v>
      </c>
      <c r="H15">
        <v>1</v>
      </c>
      <c r="I15">
        <v>0.86666666666666703</v>
      </c>
      <c r="J15">
        <v>0.86666666666666703</v>
      </c>
      <c r="K15">
        <v>573</v>
      </c>
    </row>
    <row r="16" spans="1:11" x14ac:dyDescent="0.3">
      <c r="A16">
        <v>1</v>
      </c>
      <c r="B16">
        <v>2</v>
      </c>
      <c r="C16">
        <v>4</v>
      </c>
      <c r="D16">
        <v>6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599</v>
      </c>
    </row>
    <row r="17" spans="1:11" x14ac:dyDescent="0.3">
      <c r="A17">
        <v>0.93333333333333302</v>
      </c>
      <c r="B17">
        <v>1.25</v>
      </c>
      <c r="C17">
        <v>3</v>
      </c>
      <c r="D17">
        <v>4</v>
      </c>
      <c r="E17">
        <v>1</v>
      </c>
      <c r="F17">
        <v>0.8</v>
      </c>
      <c r="G17">
        <v>1</v>
      </c>
      <c r="H17">
        <v>1</v>
      </c>
      <c r="I17">
        <v>0.88888888888888895</v>
      </c>
      <c r="J17">
        <v>0.90909090909090895</v>
      </c>
      <c r="K17">
        <v>533</v>
      </c>
    </row>
    <row r="18" spans="1:11" x14ac:dyDescent="0.3">
      <c r="A18">
        <v>0.91111111111111098</v>
      </c>
      <c r="B18">
        <v>0.25</v>
      </c>
      <c r="C18">
        <v>4</v>
      </c>
      <c r="D18">
        <v>5</v>
      </c>
      <c r="E18">
        <v>1</v>
      </c>
      <c r="F18">
        <v>1</v>
      </c>
      <c r="G18">
        <v>0.73333333333333295</v>
      </c>
      <c r="H18">
        <v>1</v>
      </c>
      <c r="I18">
        <v>0.88235294117647101</v>
      </c>
      <c r="J18">
        <v>0.84615384615384603</v>
      </c>
      <c r="K18">
        <v>631</v>
      </c>
    </row>
    <row r="19" spans="1:11" x14ac:dyDescent="0.3">
      <c r="A19">
        <v>0.91111111111111098</v>
      </c>
      <c r="B19">
        <v>1.25</v>
      </c>
      <c r="C19">
        <v>5</v>
      </c>
      <c r="D19">
        <v>7</v>
      </c>
      <c r="E19">
        <v>1</v>
      </c>
      <c r="F19">
        <v>0.86666666666666703</v>
      </c>
      <c r="G19">
        <v>0.86666666666666703</v>
      </c>
      <c r="H19">
        <v>1</v>
      </c>
      <c r="I19">
        <v>0.86666666666666703</v>
      </c>
      <c r="J19">
        <v>0.86666666666666703</v>
      </c>
      <c r="K19">
        <v>516</v>
      </c>
    </row>
    <row r="20" spans="1:11" x14ac:dyDescent="0.3">
      <c r="A20">
        <v>0.97777777777777797</v>
      </c>
      <c r="B20">
        <v>0.25</v>
      </c>
      <c r="C20">
        <v>7</v>
      </c>
      <c r="D20">
        <v>8</v>
      </c>
      <c r="E20">
        <v>1</v>
      </c>
      <c r="F20">
        <v>1</v>
      </c>
      <c r="G20">
        <v>0.93333333333333302</v>
      </c>
      <c r="H20">
        <v>1</v>
      </c>
      <c r="I20">
        <v>0.967741935483871</v>
      </c>
      <c r="J20">
        <v>0.96551724137931005</v>
      </c>
      <c r="K20">
        <v>686</v>
      </c>
    </row>
    <row r="21" spans="1:11" x14ac:dyDescent="0.3">
      <c r="A21">
        <v>1</v>
      </c>
      <c r="B21">
        <v>0.75</v>
      </c>
      <c r="C21">
        <v>4</v>
      </c>
      <c r="D21">
        <v>6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94</v>
      </c>
    </row>
    <row r="22" spans="1:11" x14ac:dyDescent="0.3">
      <c r="A22">
        <v>0.95555555555555605</v>
      </c>
      <c r="B22">
        <v>0.25</v>
      </c>
      <c r="C22">
        <v>3</v>
      </c>
      <c r="D22">
        <v>4</v>
      </c>
      <c r="E22">
        <v>1</v>
      </c>
      <c r="F22">
        <v>0.86666666666666703</v>
      </c>
      <c r="G22">
        <v>1</v>
      </c>
      <c r="H22">
        <v>1</v>
      </c>
      <c r="I22">
        <v>0.92857142857142905</v>
      </c>
      <c r="J22">
        <v>0.9375</v>
      </c>
      <c r="K22">
        <v>154</v>
      </c>
    </row>
    <row r="23" spans="1:11" x14ac:dyDescent="0.3">
      <c r="A23">
        <v>0.93333333333333302</v>
      </c>
      <c r="B23">
        <v>1.5</v>
      </c>
      <c r="C23">
        <v>4</v>
      </c>
      <c r="D23">
        <v>6</v>
      </c>
      <c r="E23">
        <v>1</v>
      </c>
      <c r="F23">
        <v>1</v>
      </c>
      <c r="G23">
        <v>0.8</v>
      </c>
      <c r="H23">
        <v>1</v>
      </c>
      <c r="I23">
        <v>0.90909090909090895</v>
      </c>
      <c r="J23">
        <v>0.88888888888888895</v>
      </c>
      <c r="K23">
        <v>937</v>
      </c>
    </row>
    <row r="24" spans="1:11" x14ac:dyDescent="0.3">
      <c r="A24">
        <v>0.93333333333333302</v>
      </c>
      <c r="B24">
        <v>0.25</v>
      </c>
      <c r="C24">
        <v>6</v>
      </c>
      <c r="D24">
        <v>7</v>
      </c>
      <c r="E24">
        <v>1</v>
      </c>
      <c r="F24">
        <v>1</v>
      </c>
      <c r="G24">
        <v>0.8</v>
      </c>
      <c r="H24">
        <v>1</v>
      </c>
      <c r="I24">
        <v>0.90909090909090895</v>
      </c>
      <c r="J24">
        <v>0.88888888888888895</v>
      </c>
      <c r="K24">
        <v>375</v>
      </c>
    </row>
    <row r="25" spans="1:11" x14ac:dyDescent="0.3">
      <c r="A25">
        <v>0.93333333333333302</v>
      </c>
      <c r="B25">
        <v>0.25</v>
      </c>
      <c r="C25">
        <v>3</v>
      </c>
      <c r="D25">
        <v>4</v>
      </c>
      <c r="E25">
        <v>1</v>
      </c>
      <c r="F25">
        <v>0.93333333333333302</v>
      </c>
      <c r="G25">
        <v>0.86666666666666703</v>
      </c>
      <c r="H25">
        <v>1</v>
      </c>
      <c r="I25">
        <v>0.90322580645161299</v>
      </c>
      <c r="J25">
        <v>0.89655172413793105</v>
      </c>
      <c r="K25">
        <v>311</v>
      </c>
    </row>
    <row r="26" spans="1:11" x14ac:dyDescent="0.3">
      <c r="A26">
        <v>0.91111111111111098</v>
      </c>
      <c r="B26">
        <v>0.25</v>
      </c>
      <c r="C26">
        <v>3</v>
      </c>
      <c r="D26">
        <v>4</v>
      </c>
      <c r="E26">
        <v>1</v>
      </c>
      <c r="F26">
        <v>0.73333333333333295</v>
      </c>
      <c r="G26">
        <v>1</v>
      </c>
      <c r="H26">
        <v>1</v>
      </c>
      <c r="I26">
        <v>0.84615384615384603</v>
      </c>
      <c r="J26">
        <v>0.88235294117647101</v>
      </c>
      <c r="K26">
        <v>793</v>
      </c>
    </row>
    <row r="27" spans="1:11" x14ac:dyDescent="0.3">
      <c r="A27">
        <v>0.93333333333333302</v>
      </c>
      <c r="B27">
        <v>0.75</v>
      </c>
      <c r="C27">
        <v>4</v>
      </c>
      <c r="D27">
        <v>5</v>
      </c>
      <c r="E27">
        <v>1</v>
      </c>
      <c r="F27">
        <v>0.86666666666666703</v>
      </c>
      <c r="G27">
        <v>0.93333333333333302</v>
      </c>
      <c r="H27">
        <v>1</v>
      </c>
      <c r="I27">
        <v>0.89655172413793105</v>
      </c>
      <c r="J27">
        <v>0.90322580645161299</v>
      </c>
      <c r="K27">
        <v>769</v>
      </c>
    </row>
    <row r="28" spans="1:11" x14ac:dyDescent="0.3">
      <c r="A28">
        <v>0.88888888888888895</v>
      </c>
      <c r="B28">
        <v>1.25</v>
      </c>
      <c r="C28">
        <v>3</v>
      </c>
      <c r="D28">
        <v>4</v>
      </c>
      <c r="E28">
        <v>0.86666666666666703</v>
      </c>
      <c r="F28">
        <v>0.8</v>
      </c>
      <c r="G28">
        <v>1</v>
      </c>
      <c r="H28">
        <v>0.92857142857142905</v>
      </c>
      <c r="I28">
        <v>0.82758620689655205</v>
      </c>
      <c r="J28">
        <v>0.90909090909090895</v>
      </c>
      <c r="K28">
        <v>433</v>
      </c>
    </row>
    <row r="29" spans="1:11" x14ac:dyDescent="0.3">
      <c r="A29">
        <v>0.93333333333333302</v>
      </c>
      <c r="B29">
        <v>0.5</v>
      </c>
      <c r="C29">
        <v>4</v>
      </c>
      <c r="D29">
        <v>5</v>
      </c>
      <c r="E29">
        <v>1</v>
      </c>
      <c r="F29">
        <v>0.93333333333333302</v>
      </c>
      <c r="G29">
        <v>0.86666666666666703</v>
      </c>
      <c r="H29">
        <v>1</v>
      </c>
      <c r="I29">
        <v>0.90322580645161299</v>
      </c>
      <c r="J29">
        <v>0.89655172413793105</v>
      </c>
      <c r="K29">
        <v>636</v>
      </c>
    </row>
    <row r="30" spans="1:11" x14ac:dyDescent="0.3">
      <c r="A30">
        <v>0.97777777777777797</v>
      </c>
      <c r="B30">
        <v>1.25</v>
      </c>
      <c r="C30">
        <v>4</v>
      </c>
      <c r="D30">
        <v>5</v>
      </c>
      <c r="E30">
        <v>1</v>
      </c>
      <c r="F30">
        <v>1</v>
      </c>
      <c r="G30">
        <v>0.93333333333333302</v>
      </c>
      <c r="H30">
        <v>1</v>
      </c>
      <c r="I30">
        <v>0.967741935483871</v>
      </c>
      <c r="J30">
        <v>0.96551724137931005</v>
      </c>
      <c r="K30">
        <v>695</v>
      </c>
    </row>
    <row r="31" spans="1:11" x14ac:dyDescent="0.3">
      <c r="A31">
        <v>0.88888888888888895</v>
      </c>
      <c r="B31">
        <v>1.25</v>
      </c>
      <c r="C31">
        <v>3</v>
      </c>
      <c r="D31">
        <v>4</v>
      </c>
      <c r="E31">
        <v>1</v>
      </c>
      <c r="F31">
        <v>0.86666666666666703</v>
      </c>
      <c r="G31">
        <v>0.8</v>
      </c>
      <c r="H31">
        <v>1</v>
      </c>
      <c r="I31">
        <v>0.83870967741935498</v>
      </c>
      <c r="J31">
        <v>0.82758620689655205</v>
      </c>
      <c r="K31">
        <v>525</v>
      </c>
    </row>
    <row r="32" spans="1:11" x14ac:dyDescent="0.3">
      <c r="A32">
        <v>0.95555555555555605</v>
      </c>
      <c r="B32">
        <v>0.25</v>
      </c>
      <c r="C32">
        <v>6</v>
      </c>
      <c r="D32">
        <v>7</v>
      </c>
      <c r="E32">
        <v>1</v>
      </c>
      <c r="F32">
        <v>0.93333333333333302</v>
      </c>
      <c r="G32">
        <v>0.93333333333333302</v>
      </c>
      <c r="H32">
        <v>1</v>
      </c>
      <c r="I32">
        <v>0.93333333333333302</v>
      </c>
      <c r="J32">
        <v>0.93333333333333302</v>
      </c>
      <c r="K32">
        <v>177</v>
      </c>
    </row>
    <row r="33" spans="1:11" x14ac:dyDescent="0.3">
      <c r="A33">
        <v>0.97777777777777797</v>
      </c>
      <c r="B33">
        <v>0.75</v>
      </c>
      <c r="C33">
        <v>3</v>
      </c>
      <c r="D33">
        <v>4</v>
      </c>
      <c r="E33">
        <v>1</v>
      </c>
      <c r="F33">
        <v>0.93333333333333302</v>
      </c>
      <c r="G33">
        <v>1</v>
      </c>
      <c r="H33">
        <v>1</v>
      </c>
      <c r="I33">
        <v>0.96551724137931005</v>
      </c>
      <c r="J33">
        <v>0.967741935483871</v>
      </c>
      <c r="K33">
        <v>625</v>
      </c>
    </row>
    <row r="34" spans="1:11" x14ac:dyDescent="0.3">
      <c r="A34">
        <v>0.91111111111111098</v>
      </c>
      <c r="B34">
        <v>0.25</v>
      </c>
      <c r="C34">
        <v>4</v>
      </c>
      <c r="D34">
        <v>5</v>
      </c>
      <c r="E34">
        <v>0.86666666666666703</v>
      </c>
      <c r="F34">
        <v>0.93333333333333302</v>
      </c>
      <c r="G34">
        <v>0.93333333333333302</v>
      </c>
      <c r="H34">
        <v>0.92857142857142905</v>
      </c>
      <c r="I34">
        <v>0.875</v>
      </c>
      <c r="J34">
        <v>0.93333333333333302</v>
      </c>
      <c r="K34">
        <v>417</v>
      </c>
    </row>
    <row r="35" spans="1:11" x14ac:dyDescent="0.3">
      <c r="A35">
        <v>0.97777777777777797</v>
      </c>
      <c r="B35">
        <v>0.5</v>
      </c>
      <c r="C35">
        <v>3</v>
      </c>
      <c r="D35">
        <v>4</v>
      </c>
      <c r="E35">
        <v>1</v>
      </c>
      <c r="F35">
        <v>0.93333333333333302</v>
      </c>
      <c r="G35">
        <v>1</v>
      </c>
      <c r="H35">
        <v>1</v>
      </c>
      <c r="I35">
        <v>0.96551724137931005</v>
      </c>
      <c r="J35">
        <v>0.967741935483871</v>
      </c>
      <c r="K35">
        <v>541</v>
      </c>
    </row>
    <row r="36" spans="1:11" x14ac:dyDescent="0.3">
      <c r="A36">
        <v>0.88888888888888895</v>
      </c>
      <c r="B36">
        <v>0.25</v>
      </c>
      <c r="C36">
        <v>3</v>
      </c>
      <c r="D36">
        <v>4</v>
      </c>
      <c r="E36">
        <v>1</v>
      </c>
      <c r="F36">
        <v>0.93333333333333302</v>
      </c>
      <c r="G36">
        <v>0.73333333333333295</v>
      </c>
      <c r="H36">
        <v>1</v>
      </c>
      <c r="I36">
        <v>0.84848484848484895</v>
      </c>
      <c r="J36">
        <v>0.81481481481481499</v>
      </c>
      <c r="K36">
        <v>592</v>
      </c>
    </row>
    <row r="37" spans="1:11" x14ac:dyDescent="0.3">
      <c r="A37">
        <v>0.95555555555555605</v>
      </c>
      <c r="B37">
        <v>0.75</v>
      </c>
      <c r="C37">
        <v>3</v>
      </c>
      <c r="D37">
        <v>4</v>
      </c>
      <c r="E37">
        <v>1</v>
      </c>
      <c r="F37">
        <v>0.93333333333333302</v>
      </c>
      <c r="G37">
        <v>0.93333333333333302</v>
      </c>
      <c r="H37">
        <v>1</v>
      </c>
      <c r="I37">
        <v>0.93333333333333302</v>
      </c>
      <c r="J37">
        <v>0.93333333333333302</v>
      </c>
      <c r="K37">
        <v>289</v>
      </c>
    </row>
    <row r="38" spans="1:11" x14ac:dyDescent="0.3">
      <c r="A38">
        <v>0.88888888888888895</v>
      </c>
      <c r="B38">
        <v>1.25</v>
      </c>
      <c r="C38">
        <v>4</v>
      </c>
      <c r="D38">
        <v>6</v>
      </c>
      <c r="E38">
        <v>1</v>
      </c>
      <c r="F38">
        <v>0.86666666666666703</v>
      </c>
      <c r="G38">
        <v>0.8</v>
      </c>
      <c r="H38">
        <v>1</v>
      </c>
      <c r="I38">
        <v>0.83870967741935498</v>
      </c>
      <c r="J38">
        <v>0.82758620689655205</v>
      </c>
      <c r="K38">
        <v>233</v>
      </c>
    </row>
    <row r="39" spans="1:11" x14ac:dyDescent="0.3">
      <c r="A39">
        <v>0.97777777777777797</v>
      </c>
      <c r="B39">
        <v>0.5</v>
      </c>
      <c r="C39">
        <v>3</v>
      </c>
      <c r="D39">
        <v>4</v>
      </c>
      <c r="E39">
        <v>1</v>
      </c>
      <c r="F39">
        <v>0.93333333333333302</v>
      </c>
      <c r="G39">
        <v>1</v>
      </c>
      <c r="H39">
        <v>1</v>
      </c>
      <c r="I39">
        <v>0.96551724137931005</v>
      </c>
      <c r="J39">
        <v>0.967741935483871</v>
      </c>
      <c r="K39">
        <v>472</v>
      </c>
    </row>
    <row r="40" spans="1:11" x14ac:dyDescent="0.3">
      <c r="A40">
        <v>0.91111111111111098</v>
      </c>
      <c r="B40">
        <v>0.25</v>
      </c>
      <c r="C40">
        <v>4</v>
      </c>
      <c r="D40">
        <v>5</v>
      </c>
      <c r="E40">
        <v>1</v>
      </c>
      <c r="F40">
        <v>0.93333333333333302</v>
      </c>
      <c r="G40">
        <v>0.8</v>
      </c>
      <c r="H40">
        <v>1</v>
      </c>
      <c r="I40">
        <v>0.875</v>
      </c>
      <c r="J40">
        <v>0.85714285714285698</v>
      </c>
      <c r="K40">
        <v>219</v>
      </c>
    </row>
    <row r="41" spans="1:11" x14ac:dyDescent="0.3">
      <c r="A41">
        <v>0.95555555555555605</v>
      </c>
      <c r="B41">
        <v>0.25</v>
      </c>
      <c r="C41">
        <v>3</v>
      </c>
      <c r="D41">
        <v>4</v>
      </c>
      <c r="E41">
        <v>1</v>
      </c>
      <c r="F41">
        <v>0.86666666666666703</v>
      </c>
      <c r="G41">
        <v>1</v>
      </c>
      <c r="H41">
        <v>1</v>
      </c>
      <c r="I41">
        <v>0.92857142857142905</v>
      </c>
      <c r="J41">
        <v>0.9375</v>
      </c>
      <c r="K41">
        <v>946</v>
      </c>
    </row>
    <row r="42" spans="1:11" x14ac:dyDescent="0.3">
      <c r="A42">
        <v>0.91111111111111098</v>
      </c>
      <c r="B42">
        <v>1.25</v>
      </c>
      <c r="C42">
        <v>4</v>
      </c>
      <c r="D42">
        <v>5</v>
      </c>
      <c r="E42">
        <v>1</v>
      </c>
      <c r="F42">
        <v>0.8</v>
      </c>
      <c r="G42">
        <v>0.93333333333333302</v>
      </c>
      <c r="H42">
        <v>1</v>
      </c>
      <c r="I42">
        <v>0.85714285714285698</v>
      </c>
      <c r="J42">
        <v>0.875</v>
      </c>
      <c r="K42">
        <v>165</v>
      </c>
    </row>
    <row r="43" spans="1:11" x14ac:dyDescent="0.3">
      <c r="A43">
        <v>0.93333333333333302</v>
      </c>
      <c r="B43">
        <v>1.25</v>
      </c>
      <c r="C43">
        <v>4</v>
      </c>
      <c r="D43">
        <v>6</v>
      </c>
      <c r="E43">
        <v>1</v>
      </c>
      <c r="F43">
        <v>1</v>
      </c>
      <c r="G43">
        <v>0.8</v>
      </c>
      <c r="H43">
        <v>1</v>
      </c>
      <c r="I43">
        <v>0.90909090909090895</v>
      </c>
      <c r="J43">
        <v>0.88888888888888895</v>
      </c>
      <c r="K43">
        <v>683</v>
      </c>
    </row>
    <row r="44" spans="1:11" x14ac:dyDescent="0.3">
      <c r="A44">
        <v>0.95555555555555605</v>
      </c>
      <c r="B44">
        <v>0.25</v>
      </c>
      <c r="C44">
        <v>3</v>
      </c>
      <c r="D44">
        <v>4</v>
      </c>
      <c r="E44">
        <v>1</v>
      </c>
      <c r="F44">
        <v>0.86666666666666703</v>
      </c>
      <c r="G44">
        <v>1</v>
      </c>
      <c r="H44">
        <v>1</v>
      </c>
      <c r="I44">
        <v>0.92857142857142905</v>
      </c>
      <c r="J44">
        <v>0.9375</v>
      </c>
      <c r="K44">
        <v>527</v>
      </c>
    </row>
    <row r="45" spans="1:11" x14ac:dyDescent="0.3">
      <c r="A45">
        <v>0.97777777777777797</v>
      </c>
      <c r="B45">
        <v>0.75</v>
      </c>
      <c r="C45">
        <v>4</v>
      </c>
      <c r="D45">
        <v>7</v>
      </c>
      <c r="E45">
        <v>1</v>
      </c>
      <c r="F45">
        <v>1</v>
      </c>
      <c r="G45">
        <v>0.93333333333333302</v>
      </c>
      <c r="H45">
        <v>1</v>
      </c>
      <c r="I45">
        <v>0.967741935483871</v>
      </c>
      <c r="J45">
        <v>0.96551724137931005</v>
      </c>
      <c r="K45">
        <v>576</v>
      </c>
    </row>
    <row r="46" spans="1:11" x14ac:dyDescent="0.3">
      <c r="A46">
        <v>0.97777777777777797</v>
      </c>
      <c r="B46">
        <v>0.75</v>
      </c>
      <c r="C46">
        <v>5</v>
      </c>
      <c r="D46">
        <v>6</v>
      </c>
      <c r="E46">
        <v>1</v>
      </c>
      <c r="F46">
        <v>1</v>
      </c>
      <c r="G46">
        <v>0.93333333333333302</v>
      </c>
      <c r="H46">
        <v>1</v>
      </c>
      <c r="I46">
        <v>0.967741935483871</v>
      </c>
      <c r="J46">
        <v>0.96551724137931005</v>
      </c>
      <c r="K46">
        <v>460</v>
      </c>
    </row>
    <row r="47" spans="1:11" x14ac:dyDescent="0.3">
      <c r="A47">
        <v>0.95555555555555605</v>
      </c>
      <c r="B47">
        <v>0.25</v>
      </c>
      <c r="C47">
        <v>3</v>
      </c>
      <c r="D47">
        <v>4</v>
      </c>
      <c r="E47">
        <v>1</v>
      </c>
      <c r="F47">
        <v>0.86666666666666703</v>
      </c>
      <c r="G47">
        <v>1</v>
      </c>
      <c r="H47">
        <v>1</v>
      </c>
      <c r="I47">
        <v>0.92857142857142905</v>
      </c>
      <c r="J47">
        <v>0.9375</v>
      </c>
      <c r="K47">
        <v>338</v>
      </c>
    </row>
    <row r="48" spans="1:11" x14ac:dyDescent="0.3">
      <c r="A48">
        <v>0.95555555555555605</v>
      </c>
      <c r="B48">
        <v>0.5</v>
      </c>
      <c r="C48">
        <v>5</v>
      </c>
      <c r="D48">
        <v>7</v>
      </c>
      <c r="E48">
        <v>1</v>
      </c>
      <c r="F48">
        <v>0.93333333333333302</v>
      </c>
      <c r="G48">
        <v>0.93333333333333302</v>
      </c>
      <c r="H48">
        <v>1</v>
      </c>
      <c r="I48">
        <v>0.93333333333333302</v>
      </c>
      <c r="J48">
        <v>0.93333333333333302</v>
      </c>
      <c r="K48">
        <v>363</v>
      </c>
    </row>
    <row r="49" spans="1:11" x14ac:dyDescent="0.3">
      <c r="A49">
        <v>0.95555555555555605</v>
      </c>
      <c r="B49">
        <v>0.25</v>
      </c>
      <c r="C49">
        <v>3</v>
      </c>
      <c r="D49">
        <v>4</v>
      </c>
      <c r="E49">
        <v>1</v>
      </c>
      <c r="F49">
        <v>0.86666666666666703</v>
      </c>
      <c r="G49">
        <v>1</v>
      </c>
      <c r="H49">
        <v>1</v>
      </c>
      <c r="I49">
        <v>0.92857142857142905</v>
      </c>
      <c r="J49">
        <v>0.9375</v>
      </c>
      <c r="K49">
        <v>88</v>
      </c>
    </row>
    <row r="50" spans="1:11" x14ac:dyDescent="0.3">
      <c r="A50">
        <v>0.93333333333333302</v>
      </c>
      <c r="B50">
        <v>0.25</v>
      </c>
      <c r="C50">
        <v>2</v>
      </c>
      <c r="D50">
        <v>3</v>
      </c>
      <c r="E50">
        <v>1</v>
      </c>
      <c r="F50">
        <v>0.93333333333333302</v>
      </c>
      <c r="G50">
        <v>0.86666666666666703</v>
      </c>
      <c r="H50">
        <v>1</v>
      </c>
      <c r="I50">
        <v>0.90322580645161299</v>
      </c>
      <c r="J50">
        <v>0.89655172413793105</v>
      </c>
      <c r="K50">
        <v>280</v>
      </c>
    </row>
    <row r="51" spans="1:11" x14ac:dyDescent="0.3">
      <c r="A51">
        <v>0.88888888888888895</v>
      </c>
      <c r="B51">
        <v>0.25</v>
      </c>
      <c r="C51">
        <v>3</v>
      </c>
      <c r="D51">
        <v>4</v>
      </c>
      <c r="E51">
        <v>1</v>
      </c>
      <c r="F51">
        <v>0.86666666666666703</v>
      </c>
      <c r="G51">
        <v>0.8</v>
      </c>
      <c r="H51">
        <v>1</v>
      </c>
      <c r="I51">
        <v>0.83870967741935498</v>
      </c>
      <c r="J51">
        <v>0.82758620689655205</v>
      </c>
      <c r="K51">
        <v>404</v>
      </c>
    </row>
    <row r="52" spans="1:11" x14ac:dyDescent="0.3">
      <c r="A52">
        <v>0.93333333333333302</v>
      </c>
      <c r="B52">
        <v>1.25</v>
      </c>
      <c r="C52">
        <v>4</v>
      </c>
      <c r="D52">
        <v>6</v>
      </c>
      <c r="E52">
        <v>1</v>
      </c>
      <c r="F52">
        <v>1</v>
      </c>
      <c r="G52">
        <v>0.8</v>
      </c>
      <c r="H52">
        <v>1</v>
      </c>
      <c r="I52">
        <v>0.90909090909090895</v>
      </c>
      <c r="J52">
        <v>0.88888888888888895</v>
      </c>
      <c r="K52">
        <v>604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52"/>
  <sheetViews>
    <sheetView workbookViewId="0">
      <selection sqref="A1:A1048576"/>
    </sheetView>
  </sheetViews>
  <sheetFormatPr defaultColWidth="11.5546875" defaultRowHeight="14.4" x14ac:dyDescent="0.3"/>
  <cols>
    <col min="2" max="3" width="23.5546875" customWidth="1"/>
  </cols>
  <sheetData>
    <row r="1" spans="1:12" x14ac:dyDescent="0.3">
      <c r="A1" t="s">
        <v>0</v>
      </c>
      <c r="B1" t="s">
        <v>10</v>
      </c>
      <c r="C1" t="s">
        <v>11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12</v>
      </c>
    </row>
    <row r="2" spans="1:12" x14ac:dyDescent="0.3">
      <c r="A2">
        <v>0.97777777777777797</v>
      </c>
      <c r="B2">
        <v>3.75</v>
      </c>
      <c r="C2">
        <v>2.5</v>
      </c>
      <c r="D2">
        <v>9</v>
      </c>
      <c r="E2">
        <v>10</v>
      </c>
      <c r="F2">
        <v>0.93333333333333302</v>
      </c>
      <c r="G2">
        <v>1</v>
      </c>
      <c r="H2">
        <v>1</v>
      </c>
      <c r="I2">
        <v>0.96551724137931005</v>
      </c>
      <c r="J2">
        <v>0.967741935483871</v>
      </c>
      <c r="K2">
        <v>1</v>
      </c>
      <c r="L2">
        <v>919</v>
      </c>
    </row>
    <row r="3" spans="1:12" x14ac:dyDescent="0.3">
      <c r="A3">
        <v>0.95555555555555605</v>
      </c>
      <c r="B3">
        <v>3.75</v>
      </c>
      <c r="C3">
        <v>2.5</v>
      </c>
      <c r="D3">
        <v>7</v>
      </c>
      <c r="E3">
        <v>8</v>
      </c>
      <c r="F3">
        <v>1</v>
      </c>
      <c r="G3">
        <v>0.93333333333333302</v>
      </c>
      <c r="H3">
        <v>0.93333333333333302</v>
      </c>
      <c r="I3">
        <v>1</v>
      </c>
      <c r="J3">
        <v>0.93333333333333302</v>
      </c>
      <c r="K3">
        <v>0.93333333333333302</v>
      </c>
      <c r="L3">
        <v>917</v>
      </c>
    </row>
    <row r="4" spans="1:12" x14ac:dyDescent="0.3">
      <c r="A4">
        <v>0.97777777777777797</v>
      </c>
      <c r="B4">
        <v>4</v>
      </c>
      <c r="C4">
        <v>2</v>
      </c>
      <c r="D4">
        <v>5</v>
      </c>
      <c r="E4">
        <v>6</v>
      </c>
      <c r="F4">
        <v>1</v>
      </c>
      <c r="G4">
        <v>0.93333333333333302</v>
      </c>
      <c r="H4">
        <v>1</v>
      </c>
      <c r="I4">
        <v>1</v>
      </c>
      <c r="J4">
        <v>0.96551724137931005</v>
      </c>
      <c r="K4">
        <v>0.967741935483871</v>
      </c>
      <c r="L4">
        <v>359</v>
      </c>
    </row>
    <row r="5" spans="1:12" x14ac:dyDescent="0.3">
      <c r="A5">
        <v>0.95555555555555605</v>
      </c>
      <c r="B5">
        <v>3.25</v>
      </c>
      <c r="C5">
        <v>2.5</v>
      </c>
      <c r="D5">
        <v>5</v>
      </c>
      <c r="E5">
        <v>6</v>
      </c>
      <c r="F5">
        <v>0.93333333333333302</v>
      </c>
      <c r="G5">
        <v>1</v>
      </c>
      <c r="H5">
        <v>0.93333333333333302</v>
      </c>
      <c r="I5">
        <v>0.96551724137931005</v>
      </c>
      <c r="J5">
        <v>0.9375</v>
      </c>
      <c r="K5">
        <v>0.96551724137931005</v>
      </c>
      <c r="L5">
        <v>575</v>
      </c>
    </row>
    <row r="6" spans="1:12" x14ac:dyDescent="0.3">
      <c r="A6">
        <v>0.86666666666666703</v>
      </c>
      <c r="B6">
        <v>3.25</v>
      </c>
      <c r="C6">
        <v>3</v>
      </c>
      <c r="D6">
        <v>9</v>
      </c>
      <c r="E6">
        <v>10</v>
      </c>
      <c r="F6">
        <v>1</v>
      </c>
      <c r="G6">
        <v>0.6</v>
      </c>
      <c r="H6">
        <v>1</v>
      </c>
      <c r="I6">
        <v>1</v>
      </c>
      <c r="J6">
        <v>0.75</v>
      </c>
      <c r="K6">
        <v>0.83333333333333304</v>
      </c>
      <c r="L6">
        <v>247</v>
      </c>
    </row>
    <row r="7" spans="1:12" x14ac:dyDescent="0.3">
      <c r="A7">
        <v>0.88888888888888895</v>
      </c>
      <c r="B7">
        <v>3.75</v>
      </c>
      <c r="C7">
        <v>2.5</v>
      </c>
      <c r="D7">
        <v>6</v>
      </c>
      <c r="E7">
        <v>7</v>
      </c>
      <c r="F7">
        <v>0.93333333333333302</v>
      </c>
      <c r="G7">
        <v>0.93333333333333302</v>
      </c>
      <c r="H7">
        <v>0.8</v>
      </c>
      <c r="I7">
        <v>0.93333333333333302</v>
      </c>
      <c r="J7">
        <v>0.875</v>
      </c>
      <c r="K7">
        <v>0.85714285714285698</v>
      </c>
      <c r="L7">
        <v>215</v>
      </c>
    </row>
    <row r="8" spans="1:12" x14ac:dyDescent="0.3">
      <c r="A8">
        <v>0.97777777777777797</v>
      </c>
      <c r="B8">
        <v>3.5</v>
      </c>
      <c r="C8">
        <v>2.25</v>
      </c>
      <c r="D8">
        <v>5</v>
      </c>
      <c r="E8">
        <v>6</v>
      </c>
      <c r="F8">
        <v>1</v>
      </c>
      <c r="G8">
        <v>1</v>
      </c>
      <c r="H8">
        <v>0.93333333333333302</v>
      </c>
      <c r="I8">
        <v>1</v>
      </c>
      <c r="J8">
        <v>0.967741935483871</v>
      </c>
      <c r="K8">
        <v>0.96551724137931005</v>
      </c>
      <c r="L8">
        <v>926</v>
      </c>
    </row>
    <row r="9" spans="1:12" x14ac:dyDescent="0.3">
      <c r="A9">
        <v>0.93333333333333302</v>
      </c>
      <c r="B9">
        <v>3.75</v>
      </c>
      <c r="C9">
        <v>1.5</v>
      </c>
      <c r="D9">
        <v>5</v>
      </c>
      <c r="E9">
        <v>6</v>
      </c>
      <c r="F9">
        <v>1</v>
      </c>
      <c r="G9">
        <v>0.86666666666666703</v>
      </c>
      <c r="H9">
        <v>0.93333333333333302</v>
      </c>
      <c r="I9">
        <v>0.967741935483871</v>
      </c>
      <c r="J9">
        <v>0.89655172413793105</v>
      </c>
      <c r="K9">
        <v>0.93333333333333302</v>
      </c>
      <c r="L9">
        <v>756</v>
      </c>
    </row>
    <row r="10" spans="1:12" x14ac:dyDescent="0.3">
      <c r="A10">
        <v>0.93333333333333302</v>
      </c>
      <c r="B10">
        <v>3.5</v>
      </c>
      <c r="C10">
        <v>2.5</v>
      </c>
      <c r="D10">
        <v>7</v>
      </c>
      <c r="E10">
        <v>8</v>
      </c>
      <c r="F10">
        <v>1</v>
      </c>
      <c r="G10">
        <v>0.93333333333333302</v>
      </c>
      <c r="H10">
        <v>0.86666666666666703</v>
      </c>
      <c r="I10">
        <v>1</v>
      </c>
      <c r="J10">
        <v>0.90322580645161299</v>
      </c>
      <c r="K10">
        <v>0.89655172413793105</v>
      </c>
      <c r="L10">
        <v>781</v>
      </c>
    </row>
    <row r="11" spans="1:12" x14ac:dyDescent="0.3">
      <c r="A11">
        <v>0.93333333333333302</v>
      </c>
      <c r="B11">
        <v>3.75</v>
      </c>
      <c r="C11">
        <v>2.5</v>
      </c>
      <c r="D11">
        <v>8</v>
      </c>
      <c r="E11">
        <v>9</v>
      </c>
      <c r="F11">
        <v>1</v>
      </c>
      <c r="G11">
        <v>0.93333333333333302</v>
      </c>
      <c r="H11">
        <v>0.86666666666666703</v>
      </c>
      <c r="I11">
        <v>1</v>
      </c>
      <c r="J11">
        <v>0.90322580645161299</v>
      </c>
      <c r="K11">
        <v>0.89655172413793105</v>
      </c>
      <c r="L11">
        <v>467</v>
      </c>
    </row>
    <row r="12" spans="1:12" x14ac:dyDescent="0.3">
      <c r="A12">
        <v>0.97777777777777797</v>
      </c>
      <c r="B12">
        <v>3.75</v>
      </c>
      <c r="C12">
        <v>2.5</v>
      </c>
      <c r="D12">
        <v>7</v>
      </c>
      <c r="E12">
        <v>8</v>
      </c>
      <c r="F12">
        <v>1</v>
      </c>
      <c r="G12">
        <v>0.93333333333333302</v>
      </c>
      <c r="H12">
        <v>1</v>
      </c>
      <c r="I12">
        <v>1</v>
      </c>
      <c r="J12">
        <v>0.96551724137931005</v>
      </c>
      <c r="K12">
        <v>0.967741935483871</v>
      </c>
      <c r="L12">
        <v>122</v>
      </c>
    </row>
    <row r="13" spans="1:12" x14ac:dyDescent="0.3">
      <c r="A13">
        <v>0.93333333333333302</v>
      </c>
      <c r="B13">
        <v>2.25</v>
      </c>
      <c r="C13">
        <v>0.5</v>
      </c>
      <c r="D13">
        <v>4</v>
      </c>
      <c r="E13">
        <v>5</v>
      </c>
      <c r="F13">
        <v>1</v>
      </c>
      <c r="G13">
        <v>0.93333333333333302</v>
      </c>
      <c r="H13">
        <v>0.86666666666666703</v>
      </c>
      <c r="I13">
        <v>1</v>
      </c>
      <c r="J13">
        <v>0.90322580645161299</v>
      </c>
      <c r="K13">
        <v>0.89655172413793105</v>
      </c>
      <c r="L13">
        <v>851</v>
      </c>
    </row>
    <row r="14" spans="1:12" x14ac:dyDescent="0.3">
      <c r="A14">
        <v>0.95555555555555605</v>
      </c>
      <c r="B14">
        <v>3.5</v>
      </c>
      <c r="C14">
        <v>2.25</v>
      </c>
      <c r="D14">
        <v>4</v>
      </c>
      <c r="E14">
        <v>5</v>
      </c>
      <c r="F14">
        <v>1</v>
      </c>
      <c r="G14">
        <v>0.93333333333333302</v>
      </c>
      <c r="H14">
        <v>0.93333333333333302</v>
      </c>
      <c r="I14">
        <v>1</v>
      </c>
      <c r="J14">
        <v>0.93333333333333302</v>
      </c>
      <c r="K14">
        <v>0.93333333333333302</v>
      </c>
      <c r="L14">
        <v>217</v>
      </c>
    </row>
    <row r="15" spans="1:12" x14ac:dyDescent="0.3">
      <c r="A15">
        <v>0.95555555555555605</v>
      </c>
      <c r="B15">
        <v>3.5</v>
      </c>
      <c r="C15">
        <v>2</v>
      </c>
      <c r="D15">
        <v>4</v>
      </c>
      <c r="E15">
        <v>5</v>
      </c>
      <c r="F15">
        <v>1</v>
      </c>
      <c r="G15">
        <v>0.86666666666666703</v>
      </c>
      <c r="H15">
        <v>1</v>
      </c>
      <c r="I15">
        <v>1</v>
      </c>
      <c r="J15">
        <v>0.92857142857142905</v>
      </c>
      <c r="K15">
        <v>0.9375</v>
      </c>
      <c r="L15">
        <v>573</v>
      </c>
    </row>
    <row r="16" spans="1:12" x14ac:dyDescent="0.3">
      <c r="A16">
        <v>1</v>
      </c>
      <c r="B16">
        <v>1.5</v>
      </c>
      <c r="C16">
        <v>1.25</v>
      </c>
      <c r="D16">
        <v>4</v>
      </c>
      <c r="E16">
        <v>6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599</v>
      </c>
    </row>
    <row r="17" spans="1:12" x14ac:dyDescent="0.3">
      <c r="A17">
        <v>0.93333333333333302</v>
      </c>
      <c r="B17">
        <v>3.5</v>
      </c>
      <c r="C17">
        <v>1.5</v>
      </c>
      <c r="D17">
        <v>3</v>
      </c>
      <c r="E17">
        <v>4</v>
      </c>
      <c r="F17">
        <v>1</v>
      </c>
      <c r="G17">
        <v>0.8</v>
      </c>
      <c r="H17">
        <v>1</v>
      </c>
      <c r="I17">
        <v>1</v>
      </c>
      <c r="J17">
        <v>0.88888888888888895</v>
      </c>
      <c r="K17">
        <v>0.90909090909090895</v>
      </c>
      <c r="L17">
        <v>533</v>
      </c>
    </row>
    <row r="18" spans="1:12" x14ac:dyDescent="0.3">
      <c r="A18">
        <v>0.91111111111111098</v>
      </c>
      <c r="B18">
        <v>4</v>
      </c>
      <c r="C18">
        <v>2</v>
      </c>
      <c r="D18">
        <v>5</v>
      </c>
      <c r="E18">
        <v>6</v>
      </c>
      <c r="F18">
        <v>1</v>
      </c>
      <c r="G18">
        <v>1</v>
      </c>
      <c r="H18">
        <v>0.73333333333333295</v>
      </c>
      <c r="I18">
        <v>1</v>
      </c>
      <c r="J18">
        <v>0.88235294117647101</v>
      </c>
      <c r="K18">
        <v>0.84615384615384603</v>
      </c>
      <c r="L18">
        <v>631</v>
      </c>
    </row>
    <row r="19" spans="1:12" x14ac:dyDescent="0.3">
      <c r="A19">
        <v>0.97777777777777797</v>
      </c>
      <c r="B19">
        <v>3.5</v>
      </c>
      <c r="C19">
        <v>2.25</v>
      </c>
      <c r="D19">
        <v>4</v>
      </c>
      <c r="E19">
        <v>5</v>
      </c>
      <c r="F19">
        <v>1</v>
      </c>
      <c r="G19">
        <v>1</v>
      </c>
      <c r="H19">
        <v>0.93333333333333302</v>
      </c>
      <c r="I19">
        <v>1</v>
      </c>
      <c r="J19">
        <v>0.967741935483871</v>
      </c>
      <c r="K19">
        <v>0.96551724137931005</v>
      </c>
      <c r="L19">
        <v>516</v>
      </c>
    </row>
    <row r="20" spans="1:12" x14ac:dyDescent="0.3">
      <c r="A20">
        <v>0.97777777777777797</v>
      </c>
      <c r="B20">
        <v>1.5</v>
      </c>
      <c r="C20">
        <v>1.25</v>
      </c>
      <c r="D20">
        <v>5</v>
      </c>
      <c r="E20">
        <v>6</v>
      </c>
      <c r="F20">
        <v>1</v>
      </c>
      <c r="G20">
        <v>1</v>
      </c>
      <c r="H20">
        <v>0.93333333333333302</v>
      </c>
      <c r="I20">
        <v>1</v>
      </c>
      <c r="J20">
        <v>0.967741935483871</v>
      </c>
      <c r="K20">
        <v>0.96551724137931005</v>
      </c>
      <c r="L20">
        <v>686</v>
      </c>
    </row>
    <row r="21" spans="1:12" x14ac:dyDescent="0.3">
      <c r="A21">
        <v>1</v>
      </c>
      <c r="B21">
        <v>3</v>
      </c>
      <c r="C21">
        <v>0.25</v>
      </c>
      <c r="D21">
        <v>4</v>
      </c>
      <c r="E21">
        <v>6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94</v>
      </c>
    </row>
    <row r="22" spans="1:12" x14ac:dyDescent="0.3">
      <c r="A22">
        <v>0.95555555555555605</v>
      </c>
      <c r="B22">
        <v>3.5</v>
      </c>
      <c r="C22">
        <v>2</v>
      </c>
      <c r="D22">
        <v>4</v>
      </c>
      <c r="E22">
        <v>5</v>
      </c>
      <c r="F22">
        <v>1</v>
      </c>
      <c r="G22">
        <v>0.86666666666666703</v>
      </c>
      <c r="H22">
        <v>1</v>
      </c>
      <c r="I22">
        <v>1</v>
      </c>
      <c r="J22">
        <v>0.92857142857142905</v>
      </c>
      <c r="K22">
        <v>0.9375</v>
      </c>
      <c r="L22">
        <v>154</v>
      </c>
    </row>
    <row r="23" spans="1:12" x14ac:dyDescent="0.3">
      <c r="A23">
        <v>0.97777777777777797</v>
      </c>
      <c r="B23">
        <v>4</v>
      </c>
      <c r="C23">
        <v>2.5</v>
      </c>
      <c r="D23">
        <v>7</v>
      </c>
      <c r="E23">
        <v>8</v>
      </c>
      <c r="F23">
        <v>1</v>
      </c>
      <c r="G23">
        <v>1</v>
      </c>
      <c r="H23">
        <v>0.93333333333333302</v>
      </c>
      <c r="I23">
        <v>1</v>
      </c>
      <c r="J23">
        <v>0.967741935483871</v>
      </c>
      <c r="K23">
        <v>0.96551724137931005</v>
      </c>
      <c r="L23">
        <v>937</v>
      </c>
    </row>
    <row r="24" spans="1:12" x14ac:dyDescent="0.3">
      <c r="A24">
        <v>0.97777777777777797</v>
      </c>
      <c r="B24">
        <v>1.5</v>
      </c>
      <c r="C24">
        <v>1.25</v>
      </c>
      <c r="D24">
        <v>5</v>
      </c>
      <c r="E24">
        <v>6</v>
      </c>
      <c r="F24">
        <v>1</v>
      </c>
      <c r="G24">
        <v>1</v>
      </c>
      <c r="H24">
        <v>0.93333333333333302</v>
      </c>
      <c r="I24">
        <v>1</v>
      </c>
      <c r="J24">
        <v>0.967741935483871</v>
      </c>
      <c r="K24">
        <v>0.96551724137931005</v>
      </c>
      <c r="L24">
        <v>375</v>
      </c>
    </row>
    <row r="25" spans="1:12" x14ac:dyDescent="0.3">
      <c r="A25">
        <v>0.93333333333333302</v>
      </c>
      <c r="B25">
        <v>3.75</v>
      </c>
      <c r="C25">
        <v>2</v>
      </c>
      <c r="D25">
        <v>4</v>
      </c>
      <c r="E25">
        <v>5</v>
      </c>
      <c r="F25">
        <v>1</v>
      </c>
      <c r="G25">
        <v>0.93333333333333302</v>
      </c>
      <c r="H25">
        <v>0.86666666666666703</v>
      </c>
      <c r="I25">
        <v>1</v>
      </c>
      <c r="J25">
        <v>0.90322580645161299</v>
      </c>
      <c r="K25">
        <v>0.89655172413793105</v>
      </c>
      <c r="L25">
        <v>311</v>
      </c>
    </row>
    <row r="26" spans="1:12" x14ac:dyDescent="0.3">
      <c r="A26">
        <v>0.91111111111111098</v>
      </c>
      <c r="B26">
        <v>2.5</v>
      </c>
      <c r="C26">
        <v>2.25</v>
      </c>
      <c r="D26">
        <v>4</v>
      </c>
      <c r="E26">
        <v>5</v>
      </c>
      <c r="F26">
        <v>1</v>
      </c>
      <c r="G26">
        <v>0.73333333333333295</v>
      </c>
      <c r="H26">
        <v>1</v>
      </c>
      <c r="I26">
        <v>0.9375</v>
      </c>
      <c r="J26">
        <v>0.84615384615384603</v>
      </c>
      <c r="K26">
        <v>0.9375</v>
      </c>
      <c r="L26">
        <v>793</v>
      </c>
    </row>
    <row r="27" spans="1:12" x14ac:dyDescent="0.3">
      <c r="A27">
        <v>0.91111111111111098</v>
      </c>
      <c r="B27">
        <v>3.25</v>
      </c>
      <c r="C27">
        <v>3</v>
      </c>
      <c r="D27">
        <v>12</v>
      </c>
      <c r="E27">
        <v>13</v>
      </c>
      <c r="F27">
        <v>1</v>
      </c>
      <c r="G27">
        <v>0.93333333333333302</v>
      </c>
      <c r="H27">
        <v>0.8</v>
      </c>
      <c r="I27">
        <v>1</v>
      </c>
      <c r="J27">
        <v>0.875</v>
      </c>
      <c r="K27">
        <v>0.85714285714285698</v>
      </c>
      <c r="L27">
        <v>769</v>
      </c>
    </row>
    <row r="28" spans="1:12" x14ac:dyDescent="0.3">
      <c r="A28">
        <v>0.88888888888888895</v>
      </c>
      <c r="B28">
        <v>3</v>
      </c>
      <c r="C28">
        <v>2</v>
      </c>
      <c r="D28">
        <v>4</v>
      </c>
      <c r="E28">
        <v>5</v>
      </c>
      <c r="F28">
        <v>0.86666666666666703</v>
      </c>
      <c r="G28">
        <v>0.8</v>
      </c>
      <c r="H28">
        <v>1</v>
      </c>
      <c r="I28">
        <v>0.92857142857142905</v>
      </c>
      <c r="J28">
        <v>0.82758620689655205</v>
      </c>
      <c r="K28">
        <v>0.90909090909090895</v>
      </c>
      <c r="L28">
        <v>433</v>
      </c>
    </row>
    <row r="29" spans="1:12" x14ac:dyDescent="0.3">
      <c r="A29">
        <v>0.93333333333333302</v>
      </c>
      <c r="B29">
        <v>0.75</v>
      </c>
      <c r="C29">
        <v>0.25</v>
      </c>
      <c r="D29">
        <v>4</v>
      </c>
      <c r="E29">
        <v>5</v>
      </c>
      <c r="F29">
        <v>1</v>
      </c>
      <c r="G29">
        <v>0.93333333333333302</v>
      </c>
      <c r="H29">
        <v>0.86666666666666703</v>
      </c>
      <c r="I29">
        <v>1</v>
      </c>
      <c r="J29">
        <v>0.90322580645161299</v>
      </c>
      <c r="K29">
        <v>0.89655172413793105</v>
      </c>
      <c r="L29">
        <v>636</v>
      </c>
    </row>
    <row r="30" spans="1:12" x14ac:dyDescent="0.3">
      <c r="A30">
        <v>0.97777777777777797</v>
      </c>
      <c r="B30">
        <v>3.5</v>
      </c>
      <c r="C30">
        <v>2.25</v>
      </c>
      <c r="D30">
        <v>5</v>
      </c>
      <c r="E30">
        <v>6</v>
      </c>
      <c r="F30">
        <v>1</v>
      </c>
      <c r="G30">
        <v>1</v>
      </c>
      <c r="H30">
        <v>0.93333333333333302</v>
      </c>
      <c r="I30">
        <v>1</v>
      </c>
      <c r="J30">
        <v>0.967741935483871</v>
      </c>
      <c r="K30">
        <v>0.96551724137931005</v>
      </c>
      <c r="L30">
        <v>695</v>
      </c>
    </row>
    <row r="31" spans="1:12" x14ac:dyDescent="0.3">
      <c r="A31">
        <v>0.91111111111111098</v>
      </c>
      <c r="B31">
        <v>3.25</v>
      </c>
      <c r="C31">
        <v>2</v>
      </c>
      <c r="D31">
        <v>3</v>
      </c>
      <c r="E31">
        <v>4</v>
      </c>
      <c r="F31">
        <v>1</v>
      </c>
      <c r="G31">
        <v>0.86666666666666703</v>
      </c>
      <c r="H31">
        <v>0.86666666666666703</v>
      </c>
      <c r="I31">
        <v>1</v>
      </c>
      <c r="J31">
        <v>0.86666666666666703</v>
      </c>
      <c r="K31">
        <v>0.86666666666666703</v>
      </c>
      <c r="L31">
        <v>525</v>
      </c>
    </row>
    <row r="32" spans="1:12" x14ac:dyDescent="0.3">
      <c r="A32">
        <v>0.95555555555555605</v>
      </c>
      <c r="B32">
        <v>3.5</v>
      </c>
      <c r="C32">
        <v>2.5</v>
      </c>
      <c r="D32">
        <v>8</v>
      </c>
      <c r="E32">
        <v>9</v>
      </c>
      <c r="F32">
        <v>1</v>
      </c>
      <c r="G32">
        <v>0.93333333333333302</v>
      </c>
      <c r="H32">
        <v>0.93333333333333302</v>
      </c>
      <c r="I32">
        <v>1</v>
      </c>
      <c r="J32">
        <v>0.93333333333333302</v>
      </c>
      <c r="K32">
        <v>0.93333333333333302</v>
      </c>
      <c r="L32">
        <v>177</v>
      </c>
    </row>
    <row r="33" spans="1:12" x14ac:dyDescent="0.3">
      <c r="A33">
        <v>0.97777777777777797</v>
      </c>
      <c r="B33">
        <v>3.25</v>
      </c>
      <c r="C33">
        <v>3</v>
      </c>
      <c r="D33">
        <v>10</v>
      </c>
      <c r="E33">
        <v>11</v>
      </c>
      <c r="F33">
        <v>0.93333333333333302</v>
      </c>
      <c r="G33">
        <v>1</v>
      </c>
      <c r="H33">
        <v>1</v>
      </c>
      <c r="I33">
        <v>0.96551724137931005</v>
      </c>
      <c r="J33">
        <v>0.967741935483871</v>
      </c>
      <c r="K33">
        <v>1</v>
      </c>
      <c r="L33">
        <v>625</v>
      </c>
    </row>
    <row r="34" spans="1:12" x14ac:dyDescent="0.3">
      <c r="A34">
        <v>0.91111111111111098</v>
      </c>
      <c r="B34">
        <v>4</v>
      </c>
      <c r="C34">
        <v>0.25</v>
      </c>
      <c r="D34">
        <v>4</v>
      </c>
      <c r="E34">
        <v>5</v>
      </c>
      <c r="F34">
        <v>0.86666666666666703</v>
      </c>
      <c r="G34">
        <v>0.93333333333333302</v>
      </c>
      <c r="H34">
        <v>0.93333333333333302</v>
      </c>
      <c r="I34">
        <v>0.92857142857142905</v>
      </c>
      <c r="J34">
        <v>0.875</v>
      </c>
      <c r="K34">
        <v>0.93333333333333302</v>
      </c>
      <c r="L34">
        <v>417</v>
      </c>
    </row>
    <row r="35" spans="1:12" x14ac:dyDescent="0.3">
      <c r="A35">
        <v>0.97777777777777797</v>
      </c>
      <c r="B35">
        <v>3.25</v>
      </c>
      <c r="C35">
        <v>2.25</v>
      </c>
      <c r="D35">
        <v>4</v>
      </c>
      <c r="E35">
        <v>5</v>
      </c>
      <c r="F35">
        <v>1</v>
      </c>
      <c r="G35">
        <v>0.93333333333333302</v>
      </c>
      <c r="H35">
        <v>1</v>
      </c>
      <c r="I35">
        <v>1</v>
      </c>
      <c r="J35">
        <v>0.96551724137931005</v>
      </c>
      <c r="K35">
        <v>0.967741935483871</v>
      </c>
      <c r="L35">
        <v>541</v>
      </c>
    </row>
    <row r="36" spans="1:12" x14ac:dyDescent="0.3">
      <c r="A36">
        <v>0.91111111111111098</v>
      </c>
      <c r="B36">
        <v>3.75</v>
      </c>
      <c r="C36">
        <v>2.25</v>
      </c>
      <c r="D36">
        <v>4</v>
      </c>
      <c r="E36">
        <v>5</v>
      </c>
      <c r="F36">
        <v>1</v>
      </c>
      <c r="G36">
        <v>0.86666666666666703</v>
      </c>
      <c r="H36">
        <v>0.86666666666666703</v>
      </c>
      <c r="I36">
        <v>1</v>
      </c>
      <c r="J36">
        <v>0.86666666666666703</v>
      </c>
      <c r="K36">
        <v>0.86666666666666703</v>
      </c>
      <c r="L36">
        <v>592</v>
      </c>
    </row>
    <row r="37" spans="1:12" x14ac:dyDescent="0.3">
      <c r="A37">
        <v>0.95555555555555605</v>
      </c>
      <c r="B37">
        <v>4</v>
      </c>
      <c r="C37">
        <v>2</v>
      </c>
      <c r="D37">
        <v>4</v>
      </c>
      <c r="E37">
        <v>5</v>
      </c>
      <c r="F37">
        <v>1</v>
      </c>
      <c r="G37">
        <v>1</v>
      </c>
      <c r="H37">
        <v>0.86666666666666703</v>
      </c>
      <c r="I37">
        <v>1</v>
      </c>
      <c r="J37">
        <v>0.9375</v>
      </c>
      <c r="K37">
        <v>0.92857142857142905</v>
      </c>
      <c r="L37">
        <v>289</v>
      </c>
    </row>
    <row r="38" spans="1:12" x14ac:dyDescent="0.3">
      <c r="A38">
        <v>0.97777777777777797</v>
      </c>
      <c r="B38">
        <v>3</v>
      </c>
      <c r="C38">
        <v>2.5</v>
      </c>
      <c r="D38">
        <v>4</v>
      </c>
      <c r="E38">
        <v>5</v>
      </c>
      <c r="F38">
        <v>1</v>
      </c>
      <c r="G38">
        <v>1</v>
      </c>
      <c r="H38">
        <v>0.93333333333333302</v>
      </c>
      <c r="I38">
        <v>1</v>
      </c>
      <c r="J38">
        <v>0.967741935483871</v>
      </c>
      <c r="K38">
        <v>0.96551724137931005</v>
      </c>
      <c r="L38">
        <v>233</v>
      </c>
    </row>
    <row r="39" spans="1:12" x14ac:dyDescent="0.3">
      <c r="A39">
        <v>0.97777777777777797</v>
      </c>
      <c r="B39">
        <v>3</v>
      </c>
      <c r="C39">
        <v>2.25</v>
      </c>
      <c r="D39">
        <v>5</v>
      </c>
      <c r="E39">
        <v>6</v>
      </c>
      <c r="F39">
        <v>1</v>
      </c>
      <c r="G39">
        <v>0.93333333333333302</v>
      </c>
      <c r="H39">
        <v>1</v>
      </c>
      <c r="I39">
        <v>1</v>
      </c>
      <c r="J39">
        <v>0.96551724137931005</v>
      </c>
      <c r="K39">
        <v>0.967741935483871</v>
      </c>
      <c r="L39">
        <v>472</v>
      </c>
    </row>
    <row r="40" spans="1:12" x14ac:dyDescent="0.3">
      <c r="A40">
        <v>0.88888888888888895</v>
      </c>
      <c r="B40">
        <v>3.5</v>
      </c>
      <c r="C40">
        <v>2.5</v>
      </c>
      <c r="D40">
        <v>6</v>
      </c>
      <c r="E40">
        <v>7</v>
      </c>
      <c r="F40">
        <v>1</v>
      </c>
      <c r="G40">
        <v>1</v>
      </c>
      <c r="H40">
        <v>0.66666666666666696</v>
      </c>
      <c r="I40">
        <v>1</v>
      </c>
      <c r="J40">
        <v>0.85714285714285698</v>
      </c>
      <c r="K40">
        <v>0.8</v>
      </c>
      <c r="L40">
        <v>219</v>
      </c>
    </row>
    <row r="41" spans="1:12" x14ac:dyDescent="0.3">
      <c r="A41">
        <v>0.95555555555555605</v>
      </c>
      <c r="B41">
        <v>0.5</v>
      </c>
      <c r="C41">
        <v>0.25</v>
      </c>
      <c r="D41">
        <v>3</v>
      </c>
      <c r="E41">
        <v>4</v>
      </c>
      <c r="F41">
        <v>1</v>
      </c>
      <c r="G41">
        <v>0.86666666666666703</v>
      </c>
      <c r="H41">
        <v>1</v>
      </c>
      <c r="I41">
        <v>1</v>
      </c>
      <c r="J41">
        <v>0.92857142857142905</v>
      </c>
      <c r="K41">
        <v>0.9375</v>
      </c>
      <c r="L41">
        <v>946</v>
      </c>
    </row>
    <row r="42" spans="1:12" x14ac:dyDescent="0.3">
      <c r="A42">
        <v>0.93333333333333302</v>
      </c>
      <c r="B42">
        <v>2.5</v>
      </c>
      <c r="C42">
        <v>2.25</v>
      </c>
      <c r="D42">
        <v>3</v>
      </c>
      <c r="E42">
        <v>4</v>
      </c>
      <c r="F42">
        <v>1</v>
      </c>
      <c r="G42">
        <v>0.8</v>
      </c>
      <c r="H42">
        <v>1</v>
      </c>
      <c r="I42">
        <v>1</v>
      </c>
      <c r="J42">
        <v>0.88888888888888895</v>
      </c>
      <c r="K42">
        <v>0.90909090909090895</v>
      </c>
      <c r="L42">
        <v>165</v>
      </c>
    </row>
    <row r="43" spans="1:12" x14ac:dyDescent="0.3">
      <c r="A43">
        <v>0.93333333333333302</v>
      </c>
      <c r="B43">
        <v>1.5</v>
      </c>
      <c r="C43">
        <v>0.75</v>
      </c>
      <c r="D43">
        <v>4</v>
      </c>
      <c r="E43">
        <v>6</v>
      </c>
      <c r="F43">
        <v>1</v>
      </c>
      <c r="G43">
        <v>1</v>
      </c>
      <c r="H43">
        <v>0.8</v>
      </c>
      <c r="I43">
        <v>1</v>
      </c>
      <c r="J43">
        <v>0.90909090909090895</v>
      </c>
      <c r="K43">
        <v>0.88888888888888895</v>
      </c>
      <c r="L43">
        <v>683</v>
      </c>
    </row>
    <row r="44" spans="1:12" x14ac:dyDescent="0.3">
      <c r="A44">
        <v>0.95555555555555605</v>
      </c>
      <c r="B44">
        <v>3.25</v>
      </c>
      <c r="C44">
        <v>2</v>
      </c>
      <c r="D44">
        <v>3</v>
      </c>
      <c r="E44">
        <v>4</v>
      </c>
      <c r="F44">
        <v>1</v>
      </c>
      <c r="G44">
        <v>0.86666666666666703</v>
      </c>
      <c r="H44">
        <v>1</v>
      </c>
      <c r="I44">
        <v>1</v>
      </c>
      <c r="J44">
        <v>0.92857142857142905</v>
      </c>
      <c r="K44">
        <v>0.9375</v>
      </c>
      <c r="L44">
        <v>527</v>
      </c>
    </row>
    <row r="45" spans="1:12" x14ac:dyDescent="0.3">
      <c r="A45">
        <v>1</v>
      </c>
      <c r="B45">
        <v>3.5</v>
      </c>
      <c r="C45">
        <v>2.25</v>
      </c>
      <c r="D45">
        <v>5</v>
      </c>
      <c r="E45">
        <v>6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576</v>
      </c>
    </row>
    <row r="46" spans="1:12" x14ac:dyDescent="0.3">
      <c r="A46">
        <v>0.97777777777777797</v>
      </c>
      <c r="B46">
        <v>3.25</v>
      </c>
      <c r="C46">
        <v>2.25</v>
      </c>
      <c r="D46">
        <v>4</v>
      </c>
      <c r="E46">
        <v>5</v>
      </c>
      <c r="F46">
        <v>1</v>
      </c>
      <c r="G46">
        <v>1</v>
      </c>
      <c r="H46">
        <v>0.93333333333333302</v>
      </c>
      <c r="I46">
        <v>1</v>
      </c>
      <c r="J46">
        <v>0.967741935483871</v>
      </c>
      <c r="K46">
        <v>0.96551724137931005</v>
      </c>
      <c r="L46">
        <v>460</v>
      </c>
    </row>
    <row r="47" spans="1:12" x14ac:dyDescent="0.3">
      <c r="A47">
        <v>0.93333333333333302</v>
      </c>
      <c r="B47">
        <v>3.75</v>
      </c>
      <c r="C47">
        <v>2.5</v>
      </c>
      <c r="D47">
        <v>6</v>
      </c>
      <c r="E47">
        <v>7</v>
      </c>
      <c r="F47">
        <v>1</v>
      </c>
      <c r="G47">
        <v>0.86666666666666703</v>
      </c>
      <c r="H47">
        <v>0.93333333333333302</v>
      </c>
      <c r="I47">
        <v>1</v>
      </c>
      <c r="J47">
        <v>0.89655172413793105</v>
      </c>
      <c r="K47">
        <v>0.90322580645161299</v>
      </c>
      <c r="L47">
        <v>338</v>
      </c>
    </row>
    <row r="48" spans="1:12" x14ac:dyDescent="0.3">
      <c r="A48">
        <v>0.97777777777777797</v>
      </c>
      <c r="B48">
        <v>3.5</v>
      </c>
      <c r="C48">
        <v>2.25</v>
      </c>
      <c r="D48">
        <v>3</v>
      </c>
      <c r="E48">
        <v>4</v>
      </c>
      <c r="F48">
        <v>1</v>
      </c>
      <c r="G48">
        <v>1</v>
      </c>
      <c r="H48">
        <v>0.93333333333333302</v>
      </c>
      <c r="I48">
        <v>1</v>
      </c>
      <c r="J48">
        <v>0.967741935483871</v>
      </c>
      <c r="K48">
        <v>0.96551724137931005</v>
      </c>
      <c r="L48">
        <v>363</v>
      </c>
    </row>
    <row r="49" spans="1:12" x14ac:dyDescent="0.3">
      <c r="A49">
        <v>0.95555555555555605</v>
      </c>
      <c r="B49">
        <v>0.5</v>
      </c>
      <c r="C49">
        <v>0.25</v>
      </c>
      <c r="D49">
        <v>3</v>
      </c>
      <c r="E49">
        <v>4</v>
      </c>
      <c r="F49">
        <v>1</v>
      </c>
      <c r="G49">
        <v>0.86666666666666703</v>
      </c>
      <c r="H49">
        <v>1</v>
      </c>
      <c r="I49">
        <v>1</v>
      </c>
      <c r="J49">
        <v>0.92857142857142905</v>
      </c>
      <c r="K49">
        <v>0.9375</v>
      </c>
      <c r="L49">
        <v>88</v>
      </c>
    </row>
    <row r="50" spans="1:12" x14ac:dyDescent="0.3">
      <c r="A50">
        <v>0.93333333333333302</v>
      </c>
      <c r="B50">
        <v>4</v>
      </c>
      <c r="C50">
        <v>2.25</v>
      </c>
      <c r="D50">
        <v>6</v>
      </c>
      <c r="E50">
        <v>7</v>
      </c>
      <c r="F50">
        <v>1</v>
      </c>
      <c r="G50">
        <v>0.93333333333333302</v>
      </c>
      <c r="H50">
        <v>0.86666666666666703</v>
      </c>
      <c r="I50">
        <v>1</v>
      </c>
      <c r="J50">
        <v>0.90322580645161299</v>
      </c>
      <c r="K50">
        <v>0.89655172413793105</v>
      </c>
      <c r="L50">
        <v>280</v>
      </c>
    </row>
    <row r="51" spans="1:12" x14ac:dyDescent="0.3">
      <c r="A51">
        <v>0.91111111111111098</v>
      </c>
      <c r="B51">
        <v>3.75</v>
      </c>
      <c r="C51">
        <v>2</v>
      </c>
      <c r="D51">
        <v>3</v>
      </c>
      <c r="E51">
        <v>4</v>
      </c>
      <c r="F51">
        <v>1</v>
      </c>
      <c r="G51">
        <v>0.86666666666666703</v>
      </c>
      <c r="H51">
        <v>0.86666666666666703</v>
      </c>
      <c r="I51">
        <v>1</v>
      </c>
      <c r="J51">
        <v>0.86666666666666703</v>
      </c>
      <c r="K51">
        <v>0.86666666666666703</v>
      </c>
      <c r="L51">
        <v>404</v>
      </c>
    </row>
    <row r="52" spans="1:12" x14ac:dyDescent="0.3">
      <c r="A52">
        <v>0.95555555555555605</v>
      </c>
      <c r="B52">
        <v>3</v>
      </c>
      <c r="C52">
        <v>2.25</v>
      </c>
      <c r="D52">
        <v>5</v>
      </c>
      <c r="E52">
        <v>6</v>
      </c>
      <c r="F52">
        <v>1</v>
      </c>
      <c r="G52">
        <v>1</v>
      </c>
      <c r="H52">
        <v>0.86666666666666703</v>
      </c>
      <c r="I52">
        <v>1</v>
      </c>
      <c r="J52">
        <v>0.9375</v>
      </c>
      <c r="K52">
        <v>0.92857142857142905</v>
      </c>
      <c r="L52">
        <v>604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52"/>
  <sheetViews>
    <sheetView workbookViewId="0">
      <selection sqref="A1:A1048576"/>
    </sheetView>
  </sheetViews>
  <sheetFormatPr defaultColWidth="11.5546875" defaultRowHeight="14.4" x14ac:dyDescent="0.3"/>
  <cols>
    <col min="2" max="3" width="23.5546875" customWidth="1"/>
  </cols>
  <sheetData>
    <row r="1" spans="1:12" x14ac:dyDescent="0.3">
      <c r="A1" t="s">
        <v>0</v>
      </c>
      <c r="B1" t="s">
        <v>10</v>
      </c>
      <c r="C1" t="s">
        <v>11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12</v>
      </c>
    </row>
    <row r="2" spans="1:12" x14ac:dyDescent="0.3">
      <c r="A2">
        <v>0.97777777777777797</v>
      </c>
      <c r="B2">
        <v>2</v>
      </c>
      <c r="C2">
        <v>1.5</v>
      </c>
      <c r="D2">
        <v>4</v>
      </c>
      <c r="E2">
        <v>5</v>
      </c>
      <c r="F2">
        <v>1</v>
      </c>
      <c r="G2">
        <v>0.93333333333333302</v>
      </c>
      <c r="H2">
        <v>1</v>
      </c>
      <c r="I2">
        <v>1</v>
      </c>
      <c r="J2">
        <v>0.96551724137931005</v>
      </c>
      <c r="K2">
        <v>0.967741935483871</v>
      </c>
      <c r="L2">
        <v>919</v>
      </c>
    </row>
    <row r="3" spans="1:12" x14ac:dyDescent="0.3">
      <c r="A3">
        <v>0.93333333333333302</v>
      </c>
      <c r="B3">
        <v>1.25</v>
      </c>
      <c r="C3">
        <v>0.25</v>
      </c>
      <c r="D3">
        <v>6</v>
      </c>
      <c r="E3">
        <v>7</v>
      </c>
      <c r="F3">
        <v>1</v>
      </c>
      <c r="G3">
        <v>0.93333333333333302</v>
      </c>
      <c r="H3">
        <v>0.86666666666666703</v>
      </c>
      <c r="I3">
        <v>1</v>
      </c>
      <c r="J3">
        <v>0.90322580645161299</v>
      </c>
      <c r="K3">
        <v>0.89655172413793105</v>
      </c>
      <c r="L3">
        <v>917</v>
      </c>
    </row>
    <row r="4" spans="1:12" x14ac:dyDescent="0.3">
      <c r="A4">
        <v>0.97777777777777797</v>
      </c>
      <c r="B4">
        <v>2</v>
      </c>
      <c r="C4">
        <v>1.5</v>
      </c>
      <c r="D4">
        <v>3</v>
      </c>
      <c r="E4">
        <v>4</v>
      </c>
      <c r="F4">
        <v>1</v>
      </c>
      <c r="G4">
        <v>0.93333333333333302</v>
      </c>
      <c r="H4">
        <v>1</v>
      </c>
      <c r="I4">
        <v>1</v>
      </c>
      <c r="J4">
        <v>0.96551724137931005</v>
      </c>
      <c r="K4">
        <v>0.967741935483871</v>
      </c>
      <c r="L4">
        <v>359</v>
      </c>
    </row>
    <row r="5" spans="1:12" x14ac:dyDescent="0.3">
      <c r="A5">
        <v>0.97777777777777797</v>
      </c>
      <c r="B5">
        <v>2.5</v>
      </c>
      <c r="C5">
        <v>1.25</v>
      </c>
      <c r="D5">
        <v>3</v>
      </c>
      <c r="E5">
        <v>4</v>
      </c>
      <c r="F5">
        <v>1</v>
      </c>
      <c r="G5">
        <v>1</v>
      </c>
      <c r="H5">
        <v>0.93333333333333302</v>
      </c>
      <c r="I5">
        <v>1</v>
      </c>
      <c r="J5">
        <v>0.967741935483871</v>
      </c>
      <c r="K5">
        <v>0.96551724137931005</v>
      </c>
      <c r="L5">
        <v>575</v>
      </c>
    </row>
    <row r="6" spans="1:12" x14ac:dyDescent="0.3">
      <c r="A6">
        <v>0.88888888888888895</v>
      </c>
      <c r="B6">
        <v>2</v>
      </c>
      <c r="C6">
        <v>0.25</v>
      </c>
      <c r="D6">
        <v>4</v>
      </c>
      <c r="E6">
        <v>5</v>
      </c>
      <c r="F6">
        <v>1</v>
      </c>
      <c r="G6">
        <v>0.8</v>
      </c>
      <c r="H6">
        <v>0.86666666666666703</v>
      </c>
      <c r="I6">
        <v>1</v>
      </c>
      <c r="J6">
        <v>0.82758620689655205</v>
      </c>
      <c r="K6">
        <v>0.83870967741935498</v>
      </c>
      <c r="L6">
        <v>247</v>
      </c>
    </row>
    <row r="7" spans="1:12" x14ac:dyDescent="0.3">
      <c r="A7">
        <v>0.93333333333333302</v>
      </c>
      <c r="B7">
        <v>3.5</v>
      </c>
      <c r="C7">
        <v>0.25</v>
      </c>
      <c r="D7">
        <v>3</v>
      </c>
      <c r="E7">
        <v>4</v>
      </c>
      <c r="F7">
        <v>1</v>
      </c>
      <c r="G7">
        <v>0.93333333333333302</v>
      </c>
      <c r="H7">
        <v>0.86666666666666703</v>
      </c>
      <c r="I7">
        <v>1</v>
      </c>
      <c r="J7">
        <v>0.90322580645161299</v>
      </c>
      <c r="K7">
        <v>0.89655172413793105</v>
      </c>
      <c r="L7">
        <v>215</v>
      </c>
    </row>
    <row r="8" spans="1:12" x14ac:dyDescent="0.3">
      <c r="A8">
        <v>0.97777777777777797</v>
      </c>
      <c r="B8">
        <v>2.5</v>
      </c>
      <c r="C8">
        <v>1.25</v>
      </c>
      <c r="D8">
        <v>3</v>
      </c>
      <c r="E8">
        <v>4</v>
      </c>
      <c r="F8">
        <v>1</v>
      </c>
      <c r="G8">
        <v>0.93333333333333302</v>
      </c>
      <c r="H8">
        <v>1</v>
      </c>
      <c r="I8">
        <v>1</v>
      </c>
      <c r="J8">
        <v>0.96551724137931005</v>
      </c>
      <c r="K8">
        <v>0.967741935483871</v>
      </c>
      <c r="L8">
        <v>926</v>
      </c>
    </row>
    <row r="9" spans="1:12" x14ac:dyDescent="0.3">
      <c r="A9">
        <v>0.93333333333333302</v>
      </c>
      <c r="B9">
        <v>3.25</v>
      </c>
      <c r="C9">
        <v>0.25</v>
      </c>
      <c r="D9">
        <v>5</v>
      </c>
      <c r="E9">
        <v>6</v>
      </c>
      <c r="F9">
        <v>1</v>
      </c>
      <c r="G9">
        <v>0.86666666666666703</v>
      </c>
      <c r="H9">
        <v>0.93333333333333302</v>
      </c>
      <c r="I9">
        <v>1</v>
      </c>
      <c r="J9">
        <v>0.89655172413793105</v>
      </c>
      <c r="K9">
        <v>0.90322580645161299</v>
      </c>
      <c r="L9">
        <v>756</v>
      </c>
    </row>
    <row r="10" spans="1:12" x14ac:dyDescent="0.3">
      <c r="A10">
        <v>0.88888888888888895</v>
      </c>
      <c r="B10">
        <v>2.5</v>
      </c>
      <c r="C10">
        <v>1.25</v>
      </c>
      <c r="D10">
        <v>2</v>
      </c>
      <c r="E10">
        <v>3</v>
      </c>
      <c r="F10">
        <v>1</v>
      </c>
      <c r="G10">
        <v>0.8</v>
      </c>
      <c r="H10">
        <v>0.86666666666666703</v>
      </c>
      <c r="I10">
        <v>1</v>
      </c>
      <c r="J10">
        <v>0.82758620689655205</v>
      </c>
      <c r="K10">
        <v>0.83870967741935498</v>
      </c>
      <c r="L10">
        <v>781</v>
      </c>
    </row>
    <row r="11" spans="1:12" x14ac:dyDescent="0.3">
      <c r="A11">
        <v>0.95555555555555605</v>
      </c>
      <c r="B11">
        <v>2</v>
      </c>
      <c r="C11">
        <v>0.25</v>
      </c>
      <c r="D11">
        <v>5</v>
      </c>
      <c r="E11">
        <v>6</v>
      </c>
      <c r="F11">
        <v>1</v>
      </c>
      <c r="G11">
        <v>0.93333333333333302</v>
      </c>
      <c r="H11">
        <v>0.93333333333333302</v>
      </c>
      <c r="I11">
        <v>1</v>
      </c>
      <c r="J11">
        <v>0.93333333333333302</v>
      </c>
      <c r="K11">
        <v>0.93333333333333302</v>
      </c>
      <c r="L11">
        <v>467</v>
      </c>
    </row>
    <row r="12" spans="1:12" x14ac:dyDescent="0.3">
      <c r="A12">
        <v>0.97777777777777797</v>
      </c>
      <c r="B12">
        <v>1.25</v>
      </c>
      <c r="C12">
        <v>2</v>
      </c>
      <c r="D12">
        <v>3</v>
      </c>
      <c r="E12">
        <v>4</v>
      </c>
      <c r="F12">
        <v>1</v>
      </c>
      <c r="G12">
        <v>0.93333333333333302</v>
      </c>
      <c r="H12">
        <v>1</v>
      </c>
      <c r="I12">
        <v>1</v>
      </c>
      <c r="J12">
        <v>0.96551724137931005</v>
      </c>
      <c r="K12">
        <v>0.967741935483871</v>
      </c>
      <c r="L12">
        <v>122</v>
      </c>
    </row>
    <row r="13" spans="1:12" x14ac:dyDescent="0.3">
      <c r="A13">
        <v>0.93333333333333302</v>
      </c>
      <c r="B13">
        <v>3.5</v>
      </c>
      <c r="C13">
        <v>1.25</v>
      </c>
      <c r="D13">
        <v>2</v>
      </c>
      <c r="E13">
        <v>3</v>
      </c>
      <c r="F13">
        <v>1</v>
      </c>
      <c r="G13">
        <v>0.93333333333333302</v>
      </c>
      <c r="H13">
        <v>0.86666666666666703</v>
      </c>
      <c r="I13">
        <v>1</v>
      </c>
      <c r="J13">
        <v>0.90322580645161299</v>
      </c>
      <c r="K13">
        <v>0.89655172413793105</v>
      </c>
      <c r="L13">
        <v>851</v>
      </c>
    </row>
    <row r="14" spans="1:12" x14ac:dyDescent="0.3">
      <c r="A14">
        <v>0.95555555555555605</v>
      </c>
      <c r="B14">
        <v>1.25</v>
      </c>
      <c r="C14">
        <v>0.25</v>
      </c>
      <c r="D14">
        <v>3</v>
      </c>
      <c r="E14">
        <v>4</v>
      </c>
      <c r="F14">
        <v>1</v>
      </c>
      <c r="G14">
        <v>0.86666666666666703</v>
      </c>
      <c r="H14">
        <v>1</v>
      </c>
      <c r="I14">
        <v>1</v>
      </c>
      <c r="J14">
        <v>0.92857142857142905</v>
      </c>
      <c r="K14">
        <v>0.9375</v>
      </c>
      <c r="L14">
        <v>217</v>
      </c>
    </row>
    <row r="15" spans="1:12" x14ac:dyDescent="0.3">
      <c r="A15">
        <v>0.91111111111111098</v>
      </c>
      <c r="B15">
        <v>1.25</v>
      </c>
      <c r="C15">
        <v>0.25</v>
      </c>
      <c r="D15">
        <v>4</v>
      </c>
      <c r="E15">
        <v>5</v>
      </c>
      <c r="F15">
        <v>1</v>
      </c>
      <c r="G15">
        <v>0.86666666666666703</v>
      </c>
      <c r="H15">
        <v>0.86666666666666703</v>
      </c>
      <c r="I15">
        <v>1</v>
      </c>
      <c r="J15">
        <v>0.86666666666666703</v>
      </c>
      <c r="K15">
        <v>0.86666666666666703</v>
      </c>
      <c r="L15">
        <v>573</v>
      </c>
    </row>
    <row r="16" spans="1:12" x14ac:dyDescent="0.3">
      <c r="A16">
        <v>1</v>
      </c>
      <c r="B16">
        <v>2</v>
      </c>
      <c r="C16">
        <v>1.5</v>
      </c>
      <c r="D16">
        <v>3</v>
      </c>
      <c r="E16">
        <v>4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599</v>
      </c>
    </row>
    <row r="17" spans="1:12" x14ac:dyDescent="0.3">
      <c r="A17">
        <v>0.95555555555555605</v>
      </c>
      <c r="B17">
        <v>0.75</v>
      </c>
      <c r="C17">
        <v>2</v>
      </c>
      <c r="D17">
        <v>3</v>
      </c>
      <c r="E17">
        <v>4</v>
      </c>
      <c r="F17">
        <v>1</v>
      </c>
      <c r="G17">
        <v>0.86666666666666703</v>
      </c>
      <c r="H17">
        <v>1</v>
      </c>
      <c r="I17">
        <v>1</v>
      </c>
      <c r="J17">
        <v>0.92857142857142905</v>
      </c>
      <c r="K17">
        <v>0.9375</v>
      </c>
      <c r="L17">
        <v>533</v>
      </c>
    </row>
    <row r="18" spans="1:12" x14ac:dyDescent="0.3">
      <c r="A18">
        <v>0.91111111111111098</v>
      </c>
      <c r="B18">
        <v>2</v>
      </c>
      <c r="C18">
        <v>1.5</v>
      </c>
      <c r="D18">
        <v>4</v>
      </c>
      <c r="E18">
        <v>5</v>
      </c>
      <c r="F18">
        <v>1</v>
      </c>
      <c r="G18">
        <v>0.93333333333333302</v>
      </c>
      <c r="H18">
        <v>0.8</v>
      </c>
      <c r="I18">
        <v>1</v>
      </c>
      <c r="J18">
        <v>0.875</v>
      </c>
      <c r="K18">
        <v>0.85714285714285698</v>
      </c>
      <c r="L18">
        <v>631</v>
      </c>
    </row>
    <row r="19" spans="1:12" x14ac:dyDescent="0.3">
      <c r="A19">
        <v>0.93333333333333302</v>
      </c>
      <c r="B19">
        <v>3.25</v>
      </c>
      <c r="C19">
        <v>1.25</v>
      </c>
      <c r="D19">
        <v>2</v>
      </c>
      <c r="E19">
        <v>3</v>
      </c>
      <c r="F19">
        <v>1</v>
      </c>
      <c r="G19">
        <v>0.86666666666666703</v>
      </c>
      <c r="H19">
        <v>0.93333333333333302</v>
      </c>
      <c r="I19">
        <v>1</v>
      </c>
      <c r="J19">
        <v>0.89655172413793105</v>
      </c>
      <c r="K19">
        <v>0.90322580645161299</v>
      </c>
      <c r="L19">
        <v>516</v>
      </c>
    </row>
    <row r="20" spans="1:12" x14ac:dyDescent="0.3">
      <c r="A20">
        <v>0.97777777777777797</v>
      </c>
      <c r="B20">
        <v>2.25</v>
      </c>
      <c r="C20">
        <v>0.75</v>
      </c>
      <c r="D20">
        <v>5</v>
      </c>
      <c r="E20">
        <v>6</v>
      </c>
      <c r="F20">
        <v>1</v>
      </c>
      <c r="G20">
        <v>1</v>
      </c>
      <c r="H20">
        <v>0.93333333333333302</v>
      </c>
      <c r="I20">
        <v>1</v>
      </c>
      <c r="J20">
        <v>0.967741935483871</v>
      </c>
      <c r="K20">
        <v>0.96551724137931005</v>
      </c>
      <c r="L20">
        <v>686</v>
      </c>
    </row>
    <row r="21" spans="1:12" x14ac:dyDescent="0.3">
      <c r="A21">
        <v>1</v>
      </c>
      <c r="B21">
        <v>3</v>
      </c>
      <c r="C21">
        <v>1.25</v>
      </c>
      <c r="D21">
        <v>3</v>
      </c>
      <c r="E21">
        <v>4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94</v>
      </c>
    </row>
    <row r="22" spans="1:12" x14ac:dyDescent="0.3">
      <c r="A22">
        <v>0.93333333333333302</v>
      </c>
      <c r="B22">
        <v>1.5</v>
      </c>
      <c r="C22">
        <v>1.25</v>
      </c>
      <c r="D22">
        <v>4</v>
      </c>
      <c r="E22">
        <v>6</v>
      </c>
      <c r="F22">
        <v>1</v>
      </c>
      <c r="G22">
        <v>0.86666666666666703</v>
      </c>
      <c r="H22">
        <v>0.93333333333333302</v>
      </c>
      <c r="I22">
        <v>1</v>
      </c>
      <c r="J22">
        <v>0.89655172413793105</v>
      </c>
      <c r="K22">
        <v>0.90322580645161299</v>
      </c>
      <c r="L22">
        <v>154</v>
      </c>
    </row>
    <row r="23" spans="1:12" x14ac:dyDescent="0.3">
      <c r="A23">
        <v>1</v>
      </c>
      <c r="B23">
        <v>0.75</v>
      </c>
      <c r="C23">
        <v>2</v>
      </c>
      <c r="D23">
        <v>3</v>
      </c>
      <c r="E23">
        <v>4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937</v>
      </c>
    </row>
    <row r="24" spans="1:12" x14ac:dyDescent="0.3">
      <c r="A24">
        <v>0.97777777777777797</v>
      </c>
      <c r="B24">
        <v>3</v>
      </c>
      <c r="C24">
        <v>0.75</v>
      </c>
      <c r="D24">
        <v>5</v>
      </c>
      <c r="E24">
        <v>6</v>
      </c>
      <c r="F24">
        <v>1</v>
      </c>
      <c r="G24">
        <v>1</v>
      </c>
      <c r="H24">
        <v>0.93333333333333302</v>
      </c>
      <c r="I24">
        <v>1</v>
      </c>
      <c r="J24">
        <v>0.967741935483871</v>
      </c>
      <c r="K24">
        <v>0.96551724137931005</v>
      </c>
      <c r="L24">
        <v>375</v>
      </c>
    </row>
    <row r="25" spans="1:12" x14ac:dyDescent="0.3">
      <c r="A25">
        <v>0.93333333333333302</v>
      </c>
      <c r="B25">
        <v>1.5</v>
      </c>
      <c r="C25">
        <v>0.25</v>
      </c>
      <c r="D25">
        <v>3</v>
      </c>
      <c r="E25">
        <v>4</v>
      </c>
      <c r="F25">
        <v>1</v>
      </c>
      <c r="G25">
        <v>0.93333333333333302</v>
      </c>
      <c r="H25">
        <v>0.86666666666666703</v>
      </c>
      <c r="I25">
        <v>1</v>
      </c>
      <c r="J25">
        <v>0.90322580645161299</v>
      </c>
      <c r="K25">
        <v>0.89655172413793105</v>
      </c>
      <c r="L25">
        <v>311</v>
      </c>
    </row>
    <row r="26" spans="1:12" x14ac:dyDescent="0.3">
      <c r="A26">
        <v>0.91111111111111098</v>
      </c>
      <c r="B26">
        <v>1.5</v>
      </c>
      <c r="C26">
        <v>1.25</v>
      </c>
      <c r="D26">
        <v>3</v>
      </c>
      <c r="E26">
        <v>4</v>
      </c>
      <c r="F26">
        <v>1</v>
      </c>
      <c r="G26">
        <v>0.73333333333333295</v>
      </c>
      <c r="H26">
        <v>1</v>
      </c>
      <c r="I26">
        <v>1</v>
      </c>
      <c r="J26">
        <v>0.84615384615384603</v>
      </c>
      <c r="K26">
        <v>0.88235294117647101</v>
      </c>
      <c r="L26">
        <v>793</v>
      </c>
    </row>
    <row r="27" spans="1:12" x14ac:dyDescent="0.3">
      <c r="A27">
        <v>0.93333333333333302</v>
      </c>
      <c r="B27">
        <v>3</v>
      </c>
      <c r="C27">
        <v>1.25</v>
      </c>
      <c r="D27">
        <v>3</v>
      </c>
      <c r="E27">
        <v>4</v>
      </c>
      <c r="F27">
        <v>1</v>
      </c>
      <c r="G27">
        <v>0.86666666666666703</v>
      </c>
      <c r="H27">
        <v>0.93333333333333302</v>
      </c>
      <c r="I27">
        <v>1</v>
      </c>
      <c r="J27">
        <v>0.89655172413793105</v>
      </c>
      <c r="K27">
        <v>0.90322580645161299</v>
      </c>
      <c r="L27">
        <v>769</v>
      </c>
    </row>
    <row r="28" spans="1:12" x14ac:dyDescent="0.3">
      <c r="A28">
        <v>0.88888888888888895</v>
      </c>
      <c r="B28">
        <v>2.5</v>
      </c>
      <c r="C28">
        <v>1.25</v>
      </c>
      <c r="D28">
        <v>2</v>
      </c>
      <c r="E28">
        <v>3</v>
      </c>
      <c r="F28">
        <v>0.86666666666666703</v>
      </c>
      <c r="G28">
        <v>0.8</v>
      </c>
      <c r="H28">
        <v>1</v>
      </c>
      <c r="I28">
        <v>0.92857142857142905</v>
      </c>
      <c r="J28">
        <v>0.82758620689655205</v>
      </c>
      <c r="K28">
        <v>0.90909090909090895</v>
      </c>
      <c r="L28">
        <v>433</v>
      </c>
    </row>
    <row r="29" spans="1:12" x14ac:dyDescent="0.3">
      <c r="A29">
        <v>0.93333333333333302</v>
      </c>
      <c r="B29">
        <v>2</v>
      </c>
      <c r="C29">
        <v>0.25</v>
      </c>
      <c r="D29">
        <v>4</v>
      </c>
      <c r="E29">
        <v>5</v>
      </c>
      <c r="F29">
        <v>1</v>
      </c>
      <c r="G29">
        <v>0.93333333333333302</v>
      </c>
      <c r="H29">
        <v>0.86666666666666703</v>
      </c>
      <c r="I29">
        <v>1</v>
      </c>
      <c r="J29">
        <v>0.90322580645161299</v>
      </c>
      <c r="K29">
        <v>0.89655172413793105</v>
      </c>
      <c r="L29">
        <v>636</v>
      </c>
    </row>
    <row r="30" spans="1:12" x14ac:dyDescent="0.3">
      <c r="A30">
        <v>0.97777777777777797</v>
      </c>
      <c r="B30">
        <v>2.5</v>
      </c>
      <c r="C30">
        <v>1.25</v>
      </c>
      <c r="D30">
        <v>3</v>
      </c>
      <c r="E30">
        <v>4</v>
      </c>
      <c r="F30">
        <v>1</v>
      </c>
      <c r="G30">
        <v>1</v>
      </c>
      <c r="H30">
        <v>0.93333333333333302</v>
      </c>
      <c r="I30">
        <v>1</v>
      </c>
      <c r="J30">
        <v>0.967741935483871</v>
      </c>
      <c r="K30">
        <v>0.96551724137931005</v>
      </c>
      <c r="L30">
        <v>695</v>
      </c>
    </row>
    <row r="31" spans="1:12" x14ac:dyDescent="0.3">
      <c r="A31">
        <v>0.88888888888888895</v>
      </c>
      <c r="B31">
        <v>2.5</v>
      </c>
      <c r="C31">
        <v>1.25</v>
      </c>
      <c r="D31">
        <v>2</v>
      </c>
      <c r="E31">
        <v>3</v>
      </c>
      <c r="F31">
        <v>1</v>
      </c>
      <c r="G31">
        <v>0.86666666666666703</v>
      </c>
      <c r="H31">
        <v>0.8</v>
      </c>
      <c r="I31">
        <v>1</v>
      </c>
      <c r="J31">
        <v>0.83870967741935498</v>
      </c>
      <c r="K31">
        <v>0.82758620689655205</v>
      </c>
      <c r="L31">
        <v>525</v>
      </c>
    </row>
    <row r="32" spans="1:12" x14ac:dyDescent="0.3">
      <c r="A32">
        <v>0.95555555555555605</v>
      </c>
      <c r="B32">
        <v>2.25</v>
      </c>
      <c r="C32">
        <v>0.25</v>
      </c>
      <c r="D32">
        <v>4</v>
      </c>
      <c r="E32">
        <v>5</v>
      </c>
      <c r="F32">
        <v>1</v>
      </c>
      <c r="G32">
        <v>0.93333333333333302</v>
      </c>
      <c r="H32">
        <v>0.93333333333333302</v>
      </c>
      <c r="I32">
        <v>1</v>
      </c>
      <c r="J32">
        <v>0.93333333333333302</v>
      </c>
      <c r="K32">
        <v>0.93333333333333302</v>
      </c>
      <c r="L32">
        <v>177</v>
      </c>
    </row>
    <row r="33" spans="1:12" x14ac:dyDescent="0.3">
      <c r="A33">
        <v>0.97777777777777797</v>
      </c>
      <c r="B33">
        <v>2</v>
      </c>
      <c r="C33">
        <v>1.5</v>
      </c>
      <c r="D33">
        <v>3</v>
      </c>
      <c r="E33">
        <v>4</v>
      </c>
      <c r="F33">
        <v>1</v>
      </c>
      <c r="G33">
        <v>0.93333333333333302</v>
      </c>
      <c r="H33">
        <v>1</v>
      </c>
      <c r="I33">
        <v>1</v>
      </c>
      <c r="J33">
        <v>0.96551724137931005</v>
      </c>
      <c r="K33">
        <v>0.967741935483871</v>
      </c>
      <c r="L33">
        <v>625</v>
      </c>
    </row>
    <row r="34" spans="1:12" x14ac:dyDescent="0.3">
      <c r="A34">
        <v>0.91111111111111098</v>
      </c>
      <c r="B34">
        <v>3.75</v>
      </c>
      <c r="C34">
        <v>1.25</v>
      </c>
      <c r="D34">
        <v>3</v>
      </c>
      <c r="E34">
        <v>4</v>
      </c>
      <c r="F34">
        <v>0.86666666666666703</v>
      </c>
      <c r="G34">
        <v>0.93333333333333302</v>
      </c>
      <c r="H34">
        <v>0.93333333333333302</v>
      </c>
      <c r="I34">
        <v>0.92857142857142905</v>
      </c>
      <c r="J34">
        <v>0.875</v>
      </c>
      <c r="K34">
        <v>0.93333333333333302</v>
      </c>
      <c r="L34">
        <v>417</v>
      </c>
    </row>
    <row r="35" spans="1:12" x14ac:dyDescent="0.3">
      <c r="A35">
        <v>0.97777777777777797</v>
      </c>
      <c r="B35">
        <v>2.5</v>
      </c>
      <c r="C35">
        <v>1.25</v>
      </c>
      <c r="D35">
        <v>3</v>
      </c>
      <c r="E35">
        <v>4</v>
      </c>
      <c r="F35">
        <v>1</v>
      </c>
      <c r="G35">
        <v>0.93333333333333302</v>
      </c>
      <c r="H35">
        <v>1</v>
      </c>
      <c r="I35">
        <v>1</v>
      </c>
      <c r="J35">
        <v>0.96551724137931005</v>
      </c>
      <c r="K35">
        <v>0.967741935483871</v>
      </c>
      <c r="L35">
        <v>541</v>
      </c>
    </row>
    <row r="36" spans="1:12" x14ac:dyDescent="0.3">
      <c r="A36">
        <v>0.88888888888888895</v>
      </c>
      <c r="B36">
        <v>2.5</v>
      </c>
      <c r="C36">
        <v>1.25</v>
      </c>
      <c r="D36">
        <v>2</v>
      </c>
      <c r="E36">
        <v>3</v>
      </c>
      <c r="F36">
        <v>1</v>
      </c>
      <c r="G36">
        <v>0.93333333333333302</v>
      </c>
      <c r="H36">
        <v>0.73333333333333295</v>
      </c>
      <c r="I36">
        <v>1</v>
      </c>
      <c r="J36">
        <v>0.84848484848484895</v>
      </c>
      <c r="K36">
        <v>0.81481481481481499</v>
      </c>
      <c r="L36">
        <v>592</v>
      </c>
    </row>
    <row r="37" spans="1:12" x14ac:dyDescent="0.3">
      <c r="A37">
        <v>0.95555555555555605</v>
      </c>
      <c r="B37">
        <v>2.25</v>
      </c>
      <c r="C37">
        <v>0.5</v>
      </c>
      <c r="D37">
        <v>3</v>
      </c>
      <c r="E37">
        <v>4</v>
      </c>
      <c r="F37">
        <v>1</v>
      </c>
      <c r="G37">
        <v>0.93333333333333302</v>
      </c>
      <c r="H37">
        <v>0.93333333333333302</v>
      </c>
      <c r="I37">
        <v>1</v>
      </c>
      <c r="J37">
        <v>0.93333333333333302</v>
      </c>
      <c r="K37">
        <v>0.93333333333333302</v>
      </c>
      <c r="L37">
        <v>289</v>
      </c>
    </row>
    <row r="38" spans="1:12" x14ac:dyDescent="0.3">
      <c r="A38">
        <v>0.93333333333333302</v>
      </c>
      <c r="B38">
        <v>1.25</v>
      </c>
      <c r="C38">
        <v>2</v>
      </c>
      <c r="D38">
        <v>2</v>
      </c>
      <c r="E38">
        <v>3</v>
      </c>
      <c r="F38">
        <v>1</v>
      </c>
      <c r="G38">
        <v>0.93333333333333302</v>
      </c>
      <c r="H38">
        <v>0.86666666666666703</v>
      </c>
      <c r="I38">
        <v>1</v>
      </c>
      <c r="J38">
        <v>0.90322580645161299</v>
      </c>
      <c r="K38">
        <v>0.89655172413793105</v>
      </c>
      <c r="L38">
        <v>233</v>
      </c>
    </row>
    <row r="39" spans="1:12" x14ac:dyDescent="0.3">
      <c r="A39">
        <v>0.97777777777777797</v>
      </c>
      <c r="B39">
        <v>1.25</v>
      </c>
      <c r="C39">
        <v>0.75</v>
      </c>
      <c r="D39">
        <v>3</v>
      </c>
      <c r="E39">
        <v>4</v>
      </c>
      <c r="F39">
        <v>1</v>
      </c>
      <c r="G39">
        <v>0.93333333333333302</v>
      </c>
      <c r="H39">
        <v>1</v>
      </c>
      <c r="I39">
        <v>1</v>
      </c>
      <c r="J39">
        <v>0.96551724137931005</v>
      </c>
      <c r="K39">
        <v>0.967741935483871</v>
      </c>
      <c r="L39">
        <v>472</v>
      </c>
    </row>
    <row r="40" spans="1:12" x14ac:dyDescent="0.3">
      <c r="A40">
        <v>0.88888888888888895</v>
      </c>
      <c r="B40">
        <v>2</v>
      </c>
      <c r="C40">
        <v>1.5</v>
      </c>
      <c r="D40">
        <v>2</v>
      </c>
      <c r="E40">
        <v>3</v>
      </c>
      <c r="F40">
        <v>1</v>
      </c>
      <c r="G40">
        <v>1</v>
      </c>
      <c r="H40">
        <v>0.66666666666666696</v>
      </c>
      <c r="I40">
        <v>1</v>
      </c>
      <c r="J40">
        <v>0.85714285714285698</v>
      </c>
      <c r="K40">
        <v>0.8</v>
      </c>
      <c r="L40">
        <v>219</v>
      </c>
    </row>
    <row r="41" spans="1:12" x14ac:dyDescent="0.3">
      <c r="A41">
        <v>0.95555555555555605</v>
      </c>
      <c r="B41">
        <v>1.25</v>
      </c>
      <c r="C41">
        <v>0.25</v>
      </c>
      <c r="D41">
        <v>3</v>
      </c>
      <c r="E41">
        <v>4</v>
      </c>
      <c r="F41">
        <v>1</v>
      </c>
      <c r="G41">
        <v>0.86666666666666703</v>
      </c>
      <c r="H41">
        <v>1</v>
      </c>
      <c r="I41">
        <v>1</v>
      </c>
      <c r="J41">
        <v>0.92857142857142905</v>
      </c>
      <c r="K41">
        <v>0.9375</v>
      </c>
      <c r="L41">
        <v>946</v>
      </c>
    </row>
    <row r="42" spans="1:12" x14ac:dyDescent="0.3">
      <c r="A42">
        <v>0.88888888888888895</v>
      </c>
      <c r="B42">
        <v>2.5</v>
      </c>
      <c r="C42">
        <v>1.25</v>
      </c>
      <c r="D42">
        <v>2</v>
      </c>
      <c r="E42">
        <v>3</v>
      </c>
      <c r="F42">
        <v>1</v>
      </c>
      <c r="G42">
        <v>0.73333333333333295</v>
      </c>
      <c r="H42">
        <v>0.93333333333333302</v>
      </c>
      <c r="I42">
        <v>1</v>
      </c>
      <c r="J42">
        <v>0.81481481481481499</v>
      </c>
      <c r="K42">
        <v>0.84848484848484895</v>
      </c>
      <c r="L42">
        <v>165</v>
      </c>
    </row>
    <row r="43" spans="1:12" x14ac:dyDescent="0.3">
      <c r="A43">
        <v>0.93333333333333302</v>
      </c>
      <c r="B43">
        <v>2</v>
      </c>
      <c r="C43">
        <v>0.5</v>
      </c>
      <c r="D43">
        <v>4</v>
      </c>
      <c r="E43">
        <v>6</v>
      </c>
      <c r="F43">
        <v>1</v>
      </c>
      <c r="G43">
        <v>1</v>
      </c>
      <c r="H43">
        <v>0.8</v>
      </c>
      <c r="I43">
        <v>1</v>
      </c>
      <c r="J43">
        <v>0.90909090909090895</v>
      </c>
      <c r="K43">
        <v>0.88888888888888895</v>
      </c>
      <c r="L43">
        <v>683</v>
      </c>
    </row>
    <row r="44" spans="1:12" x14ac:dyDescent="0.3">
      <c r="A44">
        <v>0.95555555555555605</v>
      </c>
      <c r="B44">
        <v>2.25</v>
      </c>
      <c r="C44">
        <v>0.5</v>
      </c>
      <c r="D44">
        <v>3</v>
      </c>
      <c r="E44">
        <v>4</v>
      </c>
      <c r="F44">
        <v>1</v>
      </c>
      <c r="G44">
        <v>0.86666666666666703</v>
      </c>
      <c r="H44">
        <v>1</v>
      </c>
      <c r="I44">
        <v>1</v>
      </c>
      <c r="J44">
        <v>0.92857142857142905</v>
      </c>
      <c r="K44">
        <v>0.9375</v>
      </c>
      <c r="L44">
        <v>527</v>
      </c>
    </row>
    <row r="45" spans="1:12" x14ac:dyDescent="0.3">
      <c r="A45">
        <v>1</v>
      </c>
      <c r="B45">
        <v>0.75</v>
      </c>
      <c r="C45">
        <v>2</v>
      </c>
      <c r="D45">
        <v>3</v>
      </c>
      <c r="E45">
        <v>4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576</v>
      </c>
    </row>
    <row r="46" spans="1:12" x14ac:dyDescent="0.3">
      <c r="A46">
        <v>0.97777777777777797</v>
      </c>
      <c r="B46">
        <v>2.5</v>
      </c>
      <c r="C46">
        <v>1.25</v>
      </c>
      <c r="D46">
        <v>3</v>
      </c>
      <c r="E46">
        <v>4</v>
      </c>
      <c r="F46">
        <v>1</v>
      </c>
      <c r="G46">
        <v>1</v>
      </c>
      <c r="H46">
        <v>0.93333333333333302</v>
      </c>
      <c r="I46">
        <v>1</v>
      </c>
      <c r="J46">
        <v>0.967741935483871</v>
      </c>
      <c r="K46">
        <v>0.96551724137931005</v>
      </c>
      <c r="L46">
        <v>460</v>
      </c>
    </row>
    <row r="47" spans="1:12" x14ac:dyDescent="0.3">
      <c r="A47">
        <v>0.95555555555555605</v>
      </c>
      <c r="B47">
        <v>3.5</v>
      </c>
      <c r="C47">
        <v>2</v>
      </c>
      <c r="D47">
        <v>3</v>
      </c>
      <c r="E47">
        <v>4</v>
      </c>
      <c r="F47">
        <v>1</v>
      </c>
      <c r="G47">
        <v>0.86666666666666703</v>
      </c>
      <c r="H47">
        <v>1</v>
      </c>
      <c r="I47">
        <v>1</v>
      </c>
      <c r="J47">
        <v>0.92857142857142905</v>
      </c>
      <c r="K47">
        <v>0.9375</v>
      </c>
      <c r="L47">
        <v>338</v>
      </c>
    </row>
    <row r="48" spans="1:12" x14ac:dyDescent="0.3">
      <c r="A48">
        <v>0.88888888888888895</v>
      </c>
      <c r="B48">
        <v>1.25</v>
      </c>
      <c r="C48">
        <v>0.5</v>
      </c>
      <c r="D48">
        <v>4</v>
      </c>
      <c r="E48">
        <v>5</v>
      </c>
      <c r="F48">
        <v>1</v>
      </c>
      <c r="G48">
        <v>0.73333333333333295</v>
      </c>
      <c r="H48">
        <v>0.93333333333333302</v>
      </c>
      <c r="I48">
        <v>1</v>
      </c>
      <c r="J48">
        <v>0.81481481481481499</v>
      </c>
      <c r="K48">
        <v>0.84848484848484895</v>
      </c>
      <c r="L48">
        <v>363</v>
      </c>
    </row>
    <row r="49" spans="1:12" x14ac:dyDescent="0.3">
      <c r="A49">
        <v>0.95555555555555605</v>
      </c>
      <c r="B49">
        <v>1.25</v>
      </c>
      <c r="C49">
        <v>0.25</v>
      </c>
      <c r="D49">
        <v>3</v>
      </c>
      <c r="E49">
        <v>4</v>
      </c>
      <c r="F49">
        <v>1</v>
      </c>
      <c r="G49">
        <v>0.86666666666666703</v>
      </c>
      <c r="H49">
        <v>1</v>
      </c>
      <c r="I49">
        <v>1</v>
      </c>
      <c r="J49">
        <v>0.92857142857142905</v>
      </c>
      <c r="K49">
        <v>0.9375</v>
      </c>
      <c r="L49">
        <v>88</v>
      </c>
    </row>
    <row r="50" spans="1:12" x14ac:dyDescent="0.3">
      <c r="A50">
        <v>0.93333333333333302</v>
      </c>
      <c r="B50">
        <v>1.25</v>
      </c>
      <c r="C50">
        <v>0.25</v>
      </c>
      <c r="D50">
        <v>2</v>
      </c>
      <c r="E50">
        <v>3</v>
      </c>
      <c r="F50">
        <v>1</v>
      </c>
      <c r="G50">
        <v>0.93333333333333302</v>
      </c>
      <c r="H50">
        <v>0.86666666666666703</v>
      </c>
      <c r="I50">
        <v>1</v>
      </c>
      <c r="J50">
        <v>0.90322580645161299</v>
      </c>
      <c r="K50">
        <v>0.89655172413793105</v>
      </c>
      <c r="L50">
        <v>280</v>
      </c>
    </row>
    <row r="51" spans="1:12" x14ac:dyDescent="0.3">
      <c r="A51">
        <v>0.88888888888888895</v>
      </c>
      <c r="B51">
        <v>2.5</v>
      </c>
      <c r="C51">
        <v>1.25</v>
      </c>
      <c r="D51">
        <v>2</v>
      </c>
      <c r="E51">
        <v>3</v>
      </c>
      <c r="F51">
        <v>1</v>
      </c>
      <c r="G51">
        <v>0.86666666666666703</v>
      </c>
      <c r="H51">
        <v>0.8</v>
      </c>
      <c r="I51">
        <v>1</v>
      </c>
      <c r="J51">
        <v>0.83870967741935498</v>
      </c>
      <c r="K51">
        <v>0.82758620689655205</v>
      </c>
      <c r="L51">
        <v>404</v>
      </c>
    </row>
    <row r="52" spans="1:12" x14ac:dyDescent="0.3">
      <c r="A52">
        <v>0.93333333333333302</v>
      </c>
      <c r="B52">
        <v>2.25</v>
      </c>
      <c r="C52">
        <v>0.5</v>
      </c>
      <c r="D52">
        <v>4</v>
      </c>
      <c r="E52">
        <v>6</v>
      </c>
      <c r="F52">
        <v>1</v>
      </c>
      <c r="G52">
        <v>1</v>
      </c>
      <c r="H52">
        <v>0.8</v>
      </c>
      <c r="I52">
        <v>1</v>
      </c>
      <c r="J52">
        <v>0.90909090909090895</v>
      </c>
      <c r="K52">
        <v>0.88888888888888895</v>
      </c>
      <c r="L52">
        <v>604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52"/>
  <sheetViews>
    <sheetView workbookViewId="0">
      <selection sqref="A1:A1048576"/>
    </sheetView>
  </sheetViews>
  <sheetFormatPr defaultColWidth="11.5546875" defaultRowHeight="14.4" x14ac:dyDescent="0.3"/>
  <cols>
    <col min="2" max="2" width="19.33203125" customWidth="1"/>
  </cols>
  <sheetData>
    <row r="1" spans="1:11" x14ac:dyDescent="0.3">
      <c r="A1" t="s">
        <v>0</v>
      </c>
      <c r="B1" t="s">
        <v>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12</v>
      </c>
    </row>
    <row r="2" spans="1:11" x14ac:dyDescent="0.3">
      <c r="A2">
        <v>0.97777777777777797</v>
      </c>
      <c r="B2">
        <v>0.7</v>
      </c>
      <c r="C2">
        <v>3</v>
      </c>
      <c r="D2">
        <v>4</v>
      </c>
      <c r="E2">
        <v>1</v>
      </c>
      <c r="F2">
        <v>0.93333333333333302</v>
      </c>
      <c r="G2">
        <v>1</v>
      </c>
      <c r="H2">
        <v>1</v>
      </c>
      <c r="I2">
        <v>0.96551724137931005</v>
      </c>
      <c r="J2">
        <v>0.967741935483871</v>
      </c>
      <c r="K2">
        <v>919</v>
      </c>
    </row>
    <row r="3" spans="1:11" x14ac:dyDescent="0.3">
      <c r="A3">
        <v>0.93333333333333302</v>
      </c>
      <c r="B3">
        <v>0.9</v>
      </c>
      <c r="C3">
        <v>6</v>
      </c>
      <c r="D3">
        <v>7</v>
      </c>
      <c r="E3">
        <v>1</v>
      </c>
      <c r="F3">
        <v>0.93333333333333302</v>
      </c>
      <c r="G3">
        <v>0.86666666666666703</v>
      </c>
      <c r="H3">
        <v>1</v>
      </c>
      <c r="I3">
        <v>0.90322580645161299</v>
      </c>
      <c r="J3">
        <v>0.89655172413793105</v>
      </c>
      <c r="K3">
        <v>917</v>
      </c>
    </row>
    <row r="4" spans="1:11" x14ac:dyDescent="0.3">
      <c r="A4">
        <v>0.97777777777777797</v>
      </c>
      <c r="B4">
        <v>0.1</v>
      </c>
      <c r="C4">
        <v>4</v>
      </c>
      <c r="D4">
        <v>6</v>
      </c>
      <c r="E4">
        <v>1</v>
      </c>
      <c r="F4">
        <v>0.93333333333333302</v>
      </c>
      <c r="G4">
        <v>1</v>
      </c>
      <c r="H4">
        <v>1</v>
      </c>
      <c r="I4">
        <v>0.96551724137931005</v>
      </c>
      <c r="J4">
        <v>0.967741935483871</v>
      </c>
      <c r="K4">
        <v>359</v>
      </c>
    </row>
    <row r="5" spans="1:11" x14ac:dyDescent="0.3">
      <c r="A5">
        <v>0.97777777777777797</v>
      </c>
      <c r="B5">
        <v>0.4</v>
      </c>
      <c r="C5">
        <v>4</v>
      </c>
      <c r="D5">
        <v>5</v>
      </c>
      <c r="E5">
        <v>1</v>
      </c>
      <c r="F5">
        <v>1</v>
      </c>
      <c r="G5">
        <v>0.93333333333333302</v>
      </c>
      <c r="H5">
        <v>1</v>
      </c>
      <c r="I5">
        <v>0.967741935483871</v>
      </c>
      <c r="J5">
        <v>0.96551724137931005</v>
      </c>
      <c r="K5">
        <v>575</v>
      </c>
    </row>
    <row r="6" spans="1:11" x14ac:dyDescent="0.3">
      <c r="A6">
        <v>0.88888888888888895</v>
      </c>
      <c r="B6">
        <v>0.7</v>
      </c>
      <c r="C6">
        <v>4</v>
      </c>
      <c r="D6">
        <v>5</v>
      </c>
      <c r="E6">
        <v>1</v>
      </c>
      <c r="F6">
        <v>0.8</v>
      </c>
      <c r="G6">
        <v>0.86666666666666703</v>
      </c>
      <c r="H6">
        <v>1</v>
      </c>
      <c r="I6">
        <v>0.82758620689655205</v>
      </c>
      <c r="J6">
        <v>0.83870967741935498</v>
      </c>
      <c r="K6">
        <v>247</v>
      </c>
    </row>
    <row r="7" spans="1:11" x14ac:dyDescent="0.3">
      <c r="A7">
        <v>0.93333333333333302</v>
      </c>
      <c r="B7">
        <v>0.1</v>
      </c>
      <c r="C7">
        <v>3</v>
      </c>
      <c r="D7">
        <v>4</v>
      </c>
      <c r="E7">
        <v>1</v>
      </c>
      <c r="F7">
        <v>0.93333333333333302</v>
      </c>
      <c r="G7">
        <v>0.86666666666666703</v>
      </c>
      <c r="H7">
        <v>1</v>
      </c>
      <c r="I7">
        <v>0.90322580645161299</v>
      </c>
      <c r="J7">
        <v>0.89655172413793105</v>
      </c>
      <c r="K7">
        <v>215</v>
      </c>
    </row>
    <row r="8" spans="1:11" x14ac:dyDescent="0.3">
      <c r="A8">
        <v>0.97777777777777797</v>
      </c>
      <c r="B8">
        <v>0.1</v>
      </c>
      <c r="C8">
        <v>3</v>
      </c>
      <c r="D8">
        <v>4</v>
      </c>
      <c r="E8">
        <v>1</v>
      </c>
      <c r="F8">
        <v>0.93333333333333302</v>
      </c>
      <c r="G8">
        <v>1</v>
      </c>
      <c r="H8">
        <v>1</v>
      </c>
      <c r="I8">
        <v>0.96551724137931005</v>
      </c>
      <c r="J8">
        <v>0.967741935483871</v>
      </c>
      <c r="K8">
        <v>926</v>
      </c>
    </row>
    <row r="9" spans="1:11" x14ac:dyDescent="0.3">
      <c r="A9">
        <v>0.93333333333333302</v>
      </c>
      <c r="B9">
        <v>0.5</v>
      </c>
      <c r="C9">
        <v>5</v>
      </c>
      <c r="D9">
        <v>6</v>
      </c>
      <c r="E9">
        <v>1</v>
      </c>
      <c r="F9">
        <v>0.86666666666666703</v>
      </c>
      <c r="G9">
        <v>0.93333333333333302</v>
      </c>
      <c r="H9">
        <v>1</v>
      </c>
      <c r="I9">
        <v>0.89655172413793105</v>
      </c>
      <c r="J9">
        <v>0.90322580645161299</v>
      </c>
      <c r="K9">
        <v>756</v>
      </c>
    </row>
    <row r="10" spans="1:11" x14ac:dyDescent="0.3">
      <c r="A10">
        <v>0.91111111111111098</v>
      </c>
      <c r="B10">
        <v>0.1</v>
      </c>
      <c r="C10">
        <v>4</v>
      </c>
      <c r="D10">
        <v>5</v>
      </c>
      <c r="E10">
        <v>1</v>
      </c>
      <c r="F10">
        <v>0.93333333333333302</v>
      </c>
      <c r="G10">
        <v>0.8</v>
      </c>
      <c r="H10">
        <v>1</v>
      </c>
      <c r="I10">
        <v>0.875</v>
      </c>
      <c r="J10">
        <v>0.85714285714285698</v>
      </c>
      <c r="K10">
        <v>781</v>
      </c>
    </row>
    <row r="11" spans="1:11" x14ac:dyDescent="0.3">
      <c r="A11">
        <v>0.95555555555555605</v>
      </c>
      <c r="B11">
        <v>0.7</v>
      </c>
      <c r="C11">
        <v>5</v>
      </c>
      <c r="D11">
        <v>6</v>
      </c>
      <c r="E11">
        <v>1</v>
      </c>
      <c r="F11">
        <v>0.93333333333333302</v>
      </c>
      <c r="G11">
        <v>0.93333333333333302</v>
      </c>
      <c r="H11">
        <v>1</v>
      </c>
      <c r="I11">
        <v>0.93333333333333302</v>
      </c>
      <c r="J11">
        <v>0.93333333333333302</v>
      </c>
      <c r="K11">
        <v>467</v>
      </c>
    </row>
    <row r="12" spans="1:11" x14ac:dyDescent="0.3">
      <c r="A12">
        <v>0.97777777777777797</v>
      </c>
      <c r="B12">
        <v>0.1</v>
      </c>
      <c r="C12">
        <v>5</v>
      </c>
      <c r="D12">
        <v>6</v>
      </c>
      <c r="E12">
        <v>1</v>
      </c>
      <c r="F12">
        <v>0.93333333333333302</v>
      </c>
      <c r="G12">
        <v>1</v>
      </c>
      <c r="H12">
        <v>1</v>
      </c>
      <c r="I12">
        <v>0.96551724137931005</v>
      </c>
      <c r="J12">
        <v>0.967741935483871</v>
      </c>
      <c r="K12">
        <v>122</v>
      </c>
    </row>
    <row r="13" spans="1:11" x14ac:dyDescent="0.3">
      <c r="A13">
        <v>0.93333333333333302</v>
      </c>
      <c r="B13">
        <v>0.1</v>
      </c>
      <c r="C13">
        <v>4</v>
      </c>
      <c r="D13">
        <v>5</v>
      </c>
      <c r="E13">
        <v>1</v>
      </c>
      <c r="F13">
        <v>0.93333333333333302</v>
      </c>
      <c r="G13">
        <v>0.86666666666666703</v>
      </c>
      <c r="H13">
        <v>1</v>
      </c>
      <c r="I13">
        <v>0.90322580645161299</v>
      </c>
      <c r="J13">
        <v>0.89655172413793105</v>
      </c>
      <c r="K13">
        <v>851</v>
      </c>
    </row>
    <row r="14" spans="1:11" x14ac:dyDescent="0.3">
      <c r="A14">
        <v>0.95555555555555605</v>
      </c>
      <c r="B14">
        <v>0.7</v>
      </c>
      <c r="C14">
        <v>3</v>
      </c>
      <c r="D14">
        <v>4</v>
      </c>
      <c r="E14">
        <v>1</v>
      </c>
      <c r="F14">
        <v>0.86666666666666703</v>
      </c>
      <c r="G14">
        <v>1</v>
      </c>
      <c r="H14">
        <v>1</v>
      </c>
      <c r="I14">
        <v>0.92857142857142905</v>
      </c>
      <c r="J14">
        <v>0.9375</v>
      </c>
      <c r="K14">
        <v>217</v>
      </c>
    </row>
    <row r="15" spans="1:11" x14ac:dyDescent="0.3">
      <c r="A15">
        <v>0.91111111111111098</v>
      </c>
      <c r="B15">
        <v>0.5</v>
      </c>
      <c r="C15">
        <v>4</v>
      </c>
      <c r="D15">
        <v>5</v>
      </c>
      <c r="E15">
        <v>1</v>
      </c>
      <c r="F15">
        <v>0.86666666666666703</v>
      </c>
      <c r="G15">
        <v>0.86666666666666703</v>
      </c>
      <c r="H15">
        <v>1</v>
      </c>
      <c r="I15">
        <v>0.86666666666666703</v>
      </c>
      <c r="J15">
        <v>0.86666666666666703</v>
      </c>
      <c r="K15">
        <v>573</v>
      </c>
    </row>
    <row r="16" spans="1:11" x14ac:dyDescent="0.3">
      <c r="A16">
        <v>0.91111111111111098</v>
      </c>
      <c r="B16">
        <v>0.8</v>
      </c>
      <c r="C16">
        <v>7</v>
      </c>
      <c r="D16">
        <v>8</v>
      </c>
      <c r="E16">
        <v>1</v>
      </c>
      <c r="F16">
        <v>0.93333333333333302</v>
      </c>
      <c r="G16">
        <v>0.8</v>
      </c>
      <c r="H16">
        <v>1</v>
      </c>
      <c r="I16">
        <v>0.875</v>
      </c>
      <c r="J16">
        <v>0.85714285714285698</v>
      </c>
      <c r="K16">
        <v>599</v>
      </c>
    </row>
    <row r="17" spans="1:11" x14ac:dyDescent="0.3">
      <c r="A17">
        <v>0.91111111111111098</v>
      </c>
      <c r="B17">
        <v>0.7</v>
      </c>
      <c r="C17">
        <v>5</v>
      </c>
      <c r="D17">
        <v>7</v>
      </c>
      <c r="E17">
        <v>1</v>
      </c>
      <c r="F17">
        <v>0.8</v>
      </c>
      <c r="G17">
        <v>0.93333333333333302</v>
      </c>
      <c r="H17">
        <v>1</v>
      </c>
      <c r="I17">
        <v>0.85714285714285698</v>
      </c>
      <c r="J17">
        <v>0.875</v>
      </c>
      <c r="K17">
        <v>533</v>
      </c>
    </row>
    <row r="18" spans="1:11" x14ac:dyDescent="0.3">
      <c r="A18">
        <v>0.91111111111111098</v>
      </c>
      <c r="B18">
        <v>0.5</v>
      </c>
      <c r="C18">
        <v>4</v>
      </c>
      <c r="D18">
        <v>5</v>
      </c>
      <c r="E18">
        <v>1</v>
      </c>
      <c r="F18">
        <v>1</v>
      </c>
      <c r="G18">
        <v>0.73333333333333295</v>
      </c>
      <c r="H18">
        <v>1</v>
      </c>
      <c r="I18">
        <v>0.88235294117647101</v>
      </c>
      <c r="J18">
        <v>0.84615384615384603</v>
      </c>
      <c r="K18">
        <v>631</v>
      </c>
    </row>
    <row r="19" spans="1:11" x14ac:dyDescent="0.3">
      <c r="A19">
        <v>0.91111111111111098</v>
      </c>
      <c r="B19">
        <v>0.1</v>
      </c>
      <c r="C19">
        <v>5</v>
      </c>
      <c r="D19">
        <v>7</v>
      </c>
      <c r="E19">
        <v>1</v>
      </c>
      <c r="F19">
        <v>0.86666666666666703</v>
      </c>
      <c r="G19">
        <v>0.86666666666666703</v>
      </c>
      <c r="H19">
        <v>1</v>
      </c>
      <c r="I19">
        <v>0.86666666666666703</v>
      </c>
      <c r="J19">
        <v>0.86666666666666703</v>
      </c>
      <c r="K19">
        <v>516</v>
      </c>
    </row>
    <row r="20" spans="1:11" x14ac:dyDescent="0.3">
      <c r="A20">
        <v>0.97777777777777797</v>
      </c>
      <c r="B20">
        <v>0.6</v>
      </c>
      <c r="C20">
        <v>5</v>
      </c>
      <c r="D20">
        <v>6</v>
      </c>
      <c r="E20">
        <v>1</v>
      </c>
      <c r="F20">
        <v>1</v>
      </c>
      <c r="G20">
        <v>0.93333333333333302</v>
      </c>
      <c r="H20">
        <v>1</v>
      </c>
      <c r="I20">
        <v>0.967741935483871</v>
      </c>
      <c r="J20">
        <v>0.96551724137931005</v>
      </c>
      <c r="K20">
        <v>686</v>
      </c>
    </row>
    <row r="21" spans="1:11" x14ac:dyDescent="0.3">
      <c r="A21">
        <v>1</v>
      </c>
      <c r="B21">
        <v>0.7</v>
      </c>
      <c r="C21">
        <v>8</v>
      </c>
      <c r="D21">
        <v>9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94</v>
      </c>
    </row>
    <row r="22" spans="1:11" x14ac:dyDescent="0.3">
      <c r="A22">
        <v>0.95555555555555605</v>
      </c>
      <c r="B22">
        <v>0.2</v>
      </c>
      <c r="C22">
        <v>3</v>
      </c>
      <c r="D22">
        <v>4</v>
      </c>
      <c r="E22">
        <v>1</v>
      </c>
      <c r="F22">
        <v>0.86666666666666703</v>
      </c>
      <c r="G22">
        <v>1</v>
      </c>
      <c r="H22">
        <v>1</v>
      </c>
      <c r="I22">
        <v>0.92857142857142905</v>
      </c>
      <c r="J22">
        <v>0.9375</v>
      </c>
      <c r="K22">
        <v>154</v>
      </c>
    </row>
    <row r="23" spans="1:11" x14ac:dyDescent="0.3">
      <c r="A23">
        <v>0.93333333333333302</v>
      </c>
      <c r="B23">
        <v>0.1</v>
      </c>
      <c r="C23">
        <v>4</v>
      </c>
      <c r="D23">
        <v>6</v>
      </c>
      <c r="E23">
        <v>1</v>
      </c>
      <c r="F23">
        <v>1</v>
      </c>
      <c r="G23">
        <v>0.8</v>
      </c>
      <c r="H23">
        <v>1</v>
      </c>
      <c r="I23">
        <v>0.90909090909090895</v>
      </c>
      <c r="J23">
        <v>0.88888888888888895</v>
      </c>
      <c r="K23">
        <v>937</v>
      </c>
    </row>
    <row r="24" spans="1:11" x14ac:dyDescent="0.3">
      <c r="A24">
        <v>0.97777777777777797</v>
      </c>
      <c r="B24">
        <v>0.6</v>
      </c>
      <c r="C24">
        <v>5</v>
      </c>
      <c r="D24">
        <v>6</v>
      </c>
      <c r="E24">
        <v>1</v>
      </c>
      <c r="F24">
        <v>1</v>
      </c>
      <c r="G24">
        <v>0.93333333333333302</v>
      </c>
      <c r="H24">
        <v>1</v>
      </c>
      <c r="I24">
        <v>0.967741935483871</v>
      </c>
      <c r="J24">
        <v>0.96551724137931005</v>
      </c>
      <c r="K24">
        <v>375</v>
      </c>
    </row>
    <row r="25" spans="1:11" x14ac:dyDescent="0.3">
      <c r="A25">
        <v>0.93333333333333302</v>
      </c>
      <c r="B25">
        <v>0.5</v>
      </c>
      <c r="C25">
        <v>3</v>
      </c>
      <c r="D25">
        <v>4</v>
      </c>
      <c r="E25">
        <v>1</v>
      </c>
      <c r="F25">
        <v>0.93333333333333302</v>
      </c>
      <c r="G25">
        <v>0.86666666666666703</v>
      </c>
      <c r="H25">
        <v>1</v>
      </c>
      <c r="I25">
        <v>0.90322580645161299</v>
      </c>
      <c r="J25">
        <v>0.89655172413793105</v>
      </c>
      <c r="K25">
        <v>311</v>
      </c>
    </row>
    <row r="26" spans="1:11" x14ac:dyDescent="0.3">
      <c r="A26">
        <v>0.91111111111111098</v>
      </c>
      <c r="B26">
        <v>0.4</v>
      </c>
      <c r="C26">
        <v>3</v>
      </c>
      <c r="D26">
        <v>4</v>
      </c>
      <c r="E26">
        <v>1</v>
      </c>
      <c r="F26">
        <v>0.73333333333333295</v>
      </c>
      <c r="G26">
        <v>1</v>
      </c>
      <c r="H26">
        <v>1</v>
      </c>
      <c r="I26">
        <v>0.84615384615384603</v>
      </c>
      <c r="J26">
        <v>0.88235294117647101</v>
      </c>
      <c r="K26">
        <v>793</v>
      </c>
    </row>
    <row r="27" spans="1:11" x14ac:dyDescent="0.3">
      <c r="A27">
        <v>0.93333333333333302</v>
      </c>
      <c r="B27">
        <v>0.8</v>
      </c>
      <c r="C27">
        <v>4</v>
      </c>
      <c r="D27">
        <v>5</v>
      </c>
      <c r="E27">
        <v>1</v>
      </c>
      <c r="F27">
        <v>0.86666666666666703</v>
      </c>
      <c r="G27">
        <v>0.93333333333333302</v>
      </c>
      <c r="H27">
        <v>1</v>
      </c>
      <c r="I27">
        <v>0.89655172413793105</v>
      </c>
      <c r="J27">
        <v>0.90322580645161299</v>
      </c>
      <c r="K27">
        <v>769</v>
      </c>
    </row>
    <row r="28" spans="1:11" x14ac:dyDescent="0.3">
      <c r="A28">
        <v>0.91111111111111098</v>
      </c>
      <c r="B28">
        <v>0.5</v>
      </c>
      <c r="C28">
        <v>4</v>
      </c>
      <c r="D28">
        <v>6</v>
      </c>
      <c r="E28">
        <v>0.86666666666666703</v>
      </c>
      <c r="F28">
        <v>0.93333333333333302</v>
      </c>
      <c r="G28">
        <v>0.93333333333333302</v>
      </c>
      <c r="H28">
        <v>0.92857142857142905</v>
      </c>
      <c r="I28">
        <v>0.875</v>
      </c>
      <c r="J28">
        <v>0.93333333333333302</v>
      </c>
      <c r="K28">
        <v>433</v>
      </c>
    </row>
    <row r="29" spans="1:11" x14ac:dyDescent="0.3">
      <c r="A29">
        <v>0.93333333333333302</v>
      </c>
      <c r="B29">
        <v>0.5</v>
      </c>
      <c r="C29">
        <v>4</v>
      </c>
      <c r="D29">
        <v>5</v>
      </c>
      <c r="E29">
        <v>1</v>
      </c>
      <c r="F29">
        <v>0.93333333333333302</v>
      </c>
      <c r="G29">
        <v>0.86666666666666703</v>
      </c>
      <c r="H29">
        <v>1</v>
      </c>
      <c r="I29">
        <v>0.90322580645161299</v>
      </c>
      <c r="J29">
        <v>0.89655172413793105</v>
      </c>
      <c r="K29">
        <v>636</v>
      </c>
    </row>
    <row r="30" spans="1:11" x14ac:dyDescent="0.3">
      <c r="A30">
        <v>0.97777777777777797</v>
      </c>
      <c r="B30">
        <v>0.1</v>
      </c>
      <c r="C30">
        <v>4</v>
      </c>
      <c r="D30">
        <v>5</v>
      </c>
      <c r="E30">
        <v>1</v>
      </c>
      <c r="F30">
        <v>1</v>
      </c>
      <c r="G30">
        <v>0.93333333333333302</v>
      </c>
      <c r="H30">
        <v>1</v>
      </c>
      <c r="I30">
        <v>0.967741935483871</v>
      </c>
      <c r="J30">
        <v>0.96551724137931005</v>
      </c>
      <c r="K30">
        <v>695</v>
      </c>
    </row>
    <row r="31" spans="1:11" x14ac:dyDescent="0.3">
      <c r="A31">
        <v>0.88888888888888895</v>
      </c>
      <c r="B31">
        <v>0.1</v>
      </c>
      <c r="C31">
        <v>3</v>
      </c>
      <c r="D31">
        <v>4</v>
      </c>
      <c r="E31">
        <v>1</v>
      </c>
      <c r="F31">
        <v>0.86666666666666703</v>
      </c>
      <c r="G31">
        <v>0.8</v>
      </c>
      <c r="H31">
        <v>1</v>
      </c>
      <c r="I31">
        <v>0.83870967741935498</v>
      </c>
      <c r="J31">
        <v>0.82758620689655205</v>
      </c>
      <c r="K31">
        <v>525</v>
      </c>
    </row>
    <row r="32" spans="1:11" x14ac:dyDescent="0.3">
      <c r="A32">
        <v>0.95555555555555605</v>
      </c>
      <c r="B32">
        <v>0.7</v>
      </c>
      <c r="C32">
        <v>4</v>
      </c>
      <c r="D32">
        <v>5</v>
      </c>
      <c r="E32">
        <v>1</v>
      </c>
      <c r="F32">
        <v>0.93333333333333302</v>
      </c>
      <c r="G32">
        <v>0.93333333333333302</v>
      </c>
      <c r="H32">
        <v>1</v>
      </c>
      <c r="I32">
        <v>0.93333333333333302</v>
      </c>
      <c r="J32">
        <v>0.93333333333333302</v>
      </c>
      <c r="K32">
        <v>177</v>
      </c>
    </row>
    <row r="33" spans="1:11" x14ac:dyDescent="0.3">
      <c r="A33">
        <v>0.97777777777777797</v>
      </c>
      <c r="B33">
        <v>0.5</v>
      </c>
      <c r="C33">
        <v>3</v>
      </c>
      <c r="D33">
        <v>4</v>
      </c>
      <c r="E33">
        <v>1</v>
      </c>
      <c r="F33">
        <v>0.93333333333333302</v>
      </c>
      <c r="G33">
        <v>1</v>
      </c>
      <c r="H33">
        <v>1</v>
      </c>
      <c r="I33">
        <v>0.96551724137931005</v>
      </c>
      <c r="J33">
        <v>0.967741935483871</v>
      </c>
      <c r="K33">
        <v>625</v>
      </c>
    </row>
    <row r="34" spans="1:11" x14ac:dyDescent="0.3">
      <c r="A34">
        <v>0.91111111111111098</v>
      </c>
      <c r="B34">
        <v>0.5</v>
      </c>
      <c r="C34">
        <v>4</v>
      </c>
      <c r="D34">
        <v>5</v>
      </c>
      <c r="E34">
        <v>0.86666666666666703</v>
      </c>
      <c r="F34">
        <v>0.93333333333333302</v>
      </c>
      <c r="G34">
        <v>0.93333333333333302</v>
      </c>
      <c r="H34">
        <v>0.92857142857142905</v>
      </c>
      <c r="I34">
        <v>0.875</v>
      </c>
      <c r="J34">
        <v>0.93333333333333302</v>
      </c>
      <c r="K34">
        <v>417</v>
      </c>
    </row>
    <row r="35" spans="1:11" x14ac:dyDescent="0.3">
      <c r="A35">
        <v>0.97777777777777797</v>
      </c>
      <c r="B35">
        <v>0.1</v>
      </c>
      <c r="C35">
        <v>3</v>
      </c>
      <c r="D35">
        <v>4</v>
      </c>
      <c r="E35">
        <v>1</v>
      </c>
      <c r="F35">
        <v>0.93333333333333302</v>
      </c>
      <c r="G35">
        <v>1</v>
      </c>
      <c r="H35">
        <v>1</v>
      </c>
      <c r="I35">
        <v>0.96551724137931005</v>
      </c>
      <c r="J35">
        <v>0.967741935483871</v>
      </c>
      <c r="K35">
        <v>541</v>
      </c>
    </row>
    <row r="36" spans="1:11" x14ac:dyDescent="0.3">
      <c r="A36">
        <v>0.88888888888888895</v>
      </c>
      <c r="B36">
        <v>0.1</v>
      </c>
      <c r="C36">
        <v>3</v>
      </c>
      <c r="D36">
        <v>4</v>
      </c>
      <c r="E36">
        <v>1</v>
      </c>
      <c r="F36">
        <v>0.93333333333333302</v>
      </c>
      <c r="G36">
        <v>0.73333333333333295</v>
      </c>
      <c r="H36">
        <v>1</v>
      </c>
      <c r="I36">
        <v>0.84848484848484895</v>
      </c>
      <c r="J36">
        <v>0.81481481481481499</v>
      </c>
      <c r="K36">
        <v>592</v>
      </c>
    </row>
    <row r="37" spans="1:11" x14ac:dyDescent="0.3">
      <c r="A37">
        <v>0.95555555555555605</v>
      </c>
      <c r="B37">
        <v>0.4</v>
      </c>
      <c r="C37">
        <v>3</v>
      </c>
      <c r="D37">
        <v>4</v>
      </c>
      <c r="E37">
        <v>1</v>
      </c>
      <c r="F37">
        <v>0.93333333333333302</v>
      </c>
      <c r="G37">
        <v>0.93333333333333302</v>
      </c>
      <c r="H37">
        <v>1</v>
      </c>
      <c r="I37">
        <v>0.93333333333333302</v>
      </c>
      <c r="J37">
        <v>0.93333333333333302</v>
      </c>
      <c r="K37">
        <v>289</v>
      </c>
    </row>
    <row r="38" spans="1:11" x14ac:dyDescent="0.3">
      <c r="A38">
        <v>0.93333333333333302</v>
      </c>
      <c r="B38">
        <v>0.7</v>
      </c>
      <c r="C38">
        <v>6</v>
      </c>
      <c r="D38">
        <v>7</v>
      </c>
      <c r="E38">
        <v>1</v>
      </c>
      <c r="F38">
        <v>0.86666666666666703</v>
      </c>
      <c r="G38">
        <v>0.93333333333333302</v>
      </c>
      <c r="H38">
        <v>1</v>
      </c>
      <c r="I38">
        <v>0.89655172413793105</v>
      </c>
      <c r="J38">
        <v>0.90322580645161299</v>
      </c>
      <c r="K38">
        <v>233</v>
      </c>
    </row>
    <row r="39" spans="1:11" x14ac:dyDescent="0.3">
      <c r="A39">
        <v>0.97777777777777797</v>
      </c>
      <c r="B39">
        <v>0.4</v>
      </c>
      <c r="C39">
        <v>4</v>
      </c>
      <c r="D39">
        <v>6</v>
      </c>
      <c r="E39">
        <v>1</v>
      </c>
      <c r="F39">
        <v>0.93333333333333302</v>
      </c>
      <c r="G39">
        <v>1</v>
      </c>
      <c r="H39">
        <v>1</v>
      </c>
      <c r="I39">
        <v>0.96551724137931005</v>
      </c>
      <c r="J39">
        <v>0.967741935483871</v>
      </c>
      <c r="K39">
        <v>472</v>
      </c>
    </row>
    <row r="40" spans="1:11" x14ac:dyDescent="0.3">
      <c r="A40">
        <v>0.91111111111111098</v>
      </c>
      <c r="B40">
        <v>0.1</v>
      </c>
      <c r="C40">
        <v>4</v>
      </c>
      <c r="D40">
        <v>5</v>
      </c>
      <c r="E40">
        <v>1</v>
      </c>
      <c r="F40">
        <v>0.93333333333333302</v>
      </c>
      <c r="G40">
        <v>0.8</v>
      </c>
      <c r="H40">
        <v>1</v>
      </c>
      <c r="I40">
        <v>0.875</v>
      </c>
      <c r="J40">
        <v>0.85714285714285698</v>
      </c>
      <c r="K40">
        <v>219</v>
      </c>
    </row>
    <row r="41" spans="1:11" x14ac:dyDescent="0.3">
      <c r="A41">
        <v>0.95555555555555605</v>
      </c>
      <c r="B41">
        <v>0.5</v>
      </c>
      <c r="C41">
        <v>3</v>
      </c>
      <c r="D41">
        <v>4</v>
      </c>
      <c r="E41">
        <v>1</v>
      </c>
      <c r="F41">
        <v>0.86666666666666703</v>
      </c>
      <c r="G41">
        <v>1</v>
      </c>
      <c r="H41">
        <v>1</v>
      </c>
      <c r="I41">
        <v>0.92857142857142905</v>
      </c>
      <c r="J41">
        <v>0.9375</v>
      </c>
      <c r="K41">
        <v>946</v>
      </c>
    </row>
    <row r="42" spans="1:11" x14ac:dyDescent="0.3">
      <c r="A42">
        <v>0.91111111111111098</v>
      </c>
      <c r="B42">
        <v>0.4</v>
      </c>
      <c r="C42">
        <v>4</v>
      </c>
      <c r="D42">
        <v>5</v>
      </c>
      <c r="E42">
        <v>1</v>
      </c>
      <c r="F42">
        <v>0.8</v>
      </c>
      <c r="G42">
        <v>0.93333333333333302</v>
      </c>
      <c r="H42">
        <v>1</v>
      </c>
      <c r="I42">
        <v>0.85714285714285698</v>
      </c>
      <c r="J42">
        <v>0.875</v>
      </c>
      <c r="K42">
        <v>165</v>
      </c>
    </row>
    <row r="43" spans="1:11" x14ac:dyDescent="0.3">
      <c r="A43">
        <v>0.93333333333333302</v>
      </c>
      <c r="B43">
        <v>0.1</v>
      </c>
      <c r="C43">
        <v>4</v>
      </c>
      <c r="D43">
        <v>6</v>
      </c>
      <c r="E43">
        <v>1</v>
      </c>
      <c r="F43">
        <v>1</v>
      </c>
      <c r="G43">
        <v>0.8</v>
      </c>
      <c r="H43">
        <v>1</v>
      </c>
      <c r="I43">
        <v>0.90909090909090895</v>
      </c>
      <c r="J43">
        <v>0.88888888888888895</v>
      </c>
      <c r="K43">
        <v>683</v>
      </c>
    </row>
    <row r="44" spans="1:11" x14ac:dyDescent="0.3">
      <c r="A44">
        <v>0.95555555555555605</v>
      </c>
      <c r="B44">
        <v>0.2</v>
      </c>
      <c r="C44">
        <v>3</v>
      </c>
      <c r="D44">
        <v>4</v>
      </c>
      <c r="E44">
        <v>1</v>
      </c>
      <c r="F44">
        <v>0.86666666666666703</v>
      </c>
      <c r="G44">
        <v>1</v>
      </c>
      <c r="H44">
        <v>1</v>
      </c>
      <c r="I44">
        <v>0.92857142857142905</v>
      </c>
      <c r="J44">
        <v>0.9375</v>
      </c>
      <c r="K44">
        <v>527</v>
      </c>
    </row>
    <row r="45" spans="1:11" x14ac:dyDescent="0.3">
      <c r="A45">
        <v>0.97777777777777797</v>
      </c>
      <c r="B45">
        <v>0.5</v>
      </c>
      <c r="C45">
        <v>4</v>
      </c>
      <c r="D45">
        <v>7</v>
      </c>
      <c r="E45">
        <v>1</v>
      </c>
      <c r="F45">
        <v>1</v>
      </c>
      <c r="G45">
        <v>0.93333333333333302</v>
      </c>
      <c r="H45">
        <v>1</v>
      </c>
      <c r="I45">
        <v>0.967741935483871</v>
      </c>
      <c r="J45">
        <v>0.96551724137931005</v>
      </c>
      <c r="K45">
        <v>576</v>
      </c>
    </row>
    <row r="46" spans="1:11" x14ac:dyDescent="0.3">
      <c r="A46">
        <v>0.97777777777777797</v>
      </c>
      <c r="B46">
        <v>0.1</v>
      </c>
      <c r="C46">
        <v>4</v>
      </c>
      <c r="D46">
        <v>5</v>
      </c>
      <c r="E46">
        <v>1</v>
      </c>
      <c r="F46">
        <v>1</v>
      </c>
      <c r="G46">
        <v>0.93333333333333302</v>
      </c>
      <c r="H46">
        <v>1</v>
      </c>
      <c r="I46">
        <v>0.967741935483871</v>
      </c>
      <c r="J46">
        <v>0.96551724137931005</v>
      </c>
      <c r="K46">
        <v>460</v>
      </c>
    </row>
    <row r="47" spans="1:11" x14ac:dyDescent="0.3">
      <c r="A47">
        <v>0.95555555555555605</v>
      </c>
      <c r="B47">
        <v>0.1</v>
      </c>
      <c r="C47">
        <v>3</v>
      </c>
      <c r="D47">
        <v>4</v>
      </c>
      <c r="E47">
        <v>1</v>
      </c>
      <c r="F47">
        <v>0.86666666666666703</v>
      </c>
      <c r="G47">
        <v>1</v>
      </c>
      <c r="H47">
        <v>1</v>
      </c>
      <c r="I47">
        <v>0.92857142857142905</v>
      </c>
      <c r="J47">
        <v>0.9375</v>
      </c>
      <c r="K47">
        <v>338</v>
      </c>
    </row>
    <row r="48" spans="1:11" x14ac:dyDescent="0.3">
      <c r="A48">
        <v>0.88888888888888895</v>
      </c>
      <c r="B48">
        <v>0.9</v>
      </c>
      <c r="C48">
        <v>4</v>
      </c>
      <c r="D48">
        <v>5</v>
      </c>
      <c r="E48">
        <v>1</v>
      </c>
      <c r="F48">
        <v>0.73333333333333295</v>
      </c>
      <c r="G48">
        <v>0.93333333333333302</v>
      </c>
      <c r="H48">
        <v>1</v>
      </c>
      <c r="I48">
        <v>0.81481481481481499</v>
      </c>
      <c r="J48">
        <v>0.84848484848484895</v>
      </c>
      <c r="K48">
        <v>363</v>
      </c>
    </row>
    <row r="49" spans="1:11" x14ac:dyDescent="0.3">
      <c r="A49">
        <v>0.95555555555555605</v>
      </c>
      <c r="B49">
        <v>0.5</v>
      </c>
      <c r="C49">
        <v>3</v>
      </c>
      <c r="D49">
        <v>4</v>
      </c>
      <c r="E49">
        <v>1</v>
      </c>
      <c r="F49">
        <v>0.86666666666666703</v>
      </c>
      <c r="G49">
        <v>1</v>
      </c>
      <c r="H49">
        <v>1</v>
      </c>
      <c r="I49">
        <v>0.92857142857142905</v>
      </c>
      <c r="J49">
        <v>0.9375</v>
      </c>
      <c r="K49">
        <v>88</v>
      </c>
    </row>
    <row r="50" spans="1:11" x14ac:dyDescent="0.3">
      <c r="A50">
        <v>0.93333333333333302</v>
      </c>
      <c r="B50">
        <v>0.1</v>
      </c>
      <c r="C50">
        <v>4</v>
      </c>
      <c r="D50">
        <v>5</v>
      </c>
      <c r="E50">
        <v>1</v>
      </c>
      <c r="F50">
        <v>0.93333333333333302</v>
      </c>
      <c r="G50">
        <v>0.86666666666666703</v>
      </c>
      <c r="H50">
        <v>1</v>
      </c>
      <c r="I50">
        <v>0.90322580645161299</v>
      </c>
      <c r="J50">
        <v>0.89655172413793105</v>
      </c>
      <c r="K50">
        <v>280</v>
      </c>
    </row>
    <row r="51" spans="1:11" x14ac:dyDescent="0.3">
      <c r="A51">
        <v>0.88888888888888895</v>
      </c>
      <c r="B51">
        <v>0.1</v>
      </c>
      <c r="C51">
        <v>3</v>
      </c>
      <c r="D51">
        <v>4</v>
      </c>
      <c r="E51">
        <v>1</v>
      </c>
      <c r="F51">
        <v>0.86666666666666703</v>
      </c>
      <c r="G51">
        <v>0.8</v>
      </c>
      <c r="H51">
        <v>1</v>
      </c>
      <c r="I51">
        <v>0.83870967741935498</v>
      </c>
      <c r="J51">
        <v>0.82758620689655205</v>
      </c>
      <c r="K51">
        <v>404</v>
      </c>
    </row>
    <row r="52" spans="1:11" x14ac:dyDescent="0.3">
      <c r="A52">
        <v>0.93333333333333302</v>
      </c>
      <c r="B52">
        <v>0.1</v>
      </c>
      <c r="C52">
        <v>4</v>
      </c>
      <c r="D52">
        <v>6</v>
      </c>
      <c r="E52">
        <v>1</v>
      </c>
      <c r="F52">
        <v>1</v>
      </c>
      <c r="G52">
        <v>0.8</v>
      </c>
      <c r="H52">
        <v>1</v>
      </c>
      <c r="I52">
        <v>0.90909090909090895</v>
      </c>
      <c r="J52">
        <v>0.88888888888888895</v>
      </c>
      <c r="K52">
        <v>604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52"/>
  <sheetViews>
    <sheetView workbookViewId="0">
      <selection sqref="A1:A52"/>
    </sheetView>
  </sheetViews>
  <sheetFormatPr defaultColWidth="11.5546875" defaultRowHeight="14.4" x14ac:dyDescent="0.3"/>
  <sheetData>
    <row r="1" spans="1:1" x14ac:dyDescent="0.3">
      <c r="A1" t="s">
        <v>12</v>
      </c>
    </row>
    <row r="2" spans="1:1" x14ac:dyDescent="0.3">
      <c r="A2">
        <v>919</v>
      </c>
    </row>
    <row r="3" spans="1:1" x14ac:dyDescent="0.3">
      <c r="A3">
        <v>917</v>
      </c>
    </row>
    <row r="4" spans="1:1" x14ac:dyDescent="0.3">
      <c r="A4">
        <v>359</v>
      </c>
    </row>
    <row r="5" spans="1:1" x14ac:dyDescent="0.3">
      <c r="A5">
        <v>575</v>
      </c>
    </row>
    <row r="6" spans="1:1" x14ac:dyDescent="0.3">
      <c r="A6">
        <v>247</v>
      </c>
    </row>
    <row r="7" spans="1:1" x14ac:dyDescent="0.3">
      <c r="A7">
        <v>215</v>
      </c>
    </row>
    <row r="8" spans="1:1" x14ac:dyDescent="0.3">
      <c r="A8">
        <v>926</v>
      </c>
    </row>
    <row r="9" spans="1:1" x14ac:dyDescent="0.3">
      <c r="A9">
        <v>756</v>
      </c>
    </row>
    <row r="10" spans="1:1" x14ac:dyDescent="0.3">
      <c r="A10">
        <v>781</v>
      </c>
    </row>
    <row r="11" spans="1:1" x14ac:dyDescent="0.3">
      <c r="A11">
        <v>467</v>
      </c>
    </row>
    <row r="12" spans="1:1" x14ac:dyDescent="0.3">
      <c r="A12">
        <v>122</v>
      </c>
    </row>
    <row r="13" spans="1:1" x14ac:dyDescent="0.3">
      <c r="A13">
        <v>851</v>
      </c>
    </row>
    <row r="14" spans="1:1" x14ac:dyDescent="0.3">
      <c r="A14">
        <v>217</v>
      </c>
    </row>
    <row r="15" spans="1:1" x14ac:dyDescent="0.3">
      <c r="A15">
        <v>573</v>
      </c>
    </row>
    <row r="16" spans="1:1" x14ac:dyDescent="0.3">
      <c r="A16">
        <v>599</v>
      </c>
    </row>
    <row r="17" spans="1:1" x14ac:dyDescent="0.3">
      <c r="A17">
        <v>533</v>
      </c>
    </row>
    <row r="18" spans="1:1" x14ac:dyDescent="0.3">
      <c r="A18">
        <v>631</v>
      </c>
    </row>
    <row r="19" spans="1:1" x14ac:dyDescent="0.3">
      <c r="A19">
        <v>516</v>
      </c>
    </row>
    <row r="20" spans="1:1" x14ac:dyDescent="0.3">
      <c r="A20">
        <v>686</v>
      </c>
    </row>
    <row r="21" spans="1:1" x14ac:dyDescent="0.3">
      <c r="A21">
        <v>94</v>
      </c>
    </row>
    <row r="22" spans="1:1" x14ac:dyDescent="0.3">
      <c r="A22">
        <v>154</v>
      </c>
    </row>
    <row r="23" spans="1:1" x14ac:dyDescent="0.3">
      <c r="A23">
        <v>937</v>
      </c>
    </row>
    <row r="24" spans="1:1" x14ac:dyDescent="0.3">
      <c r="A24">
        <v>375</v>
      </c>
    </row>
    <row r="25" spans="1:1" x14ac:dyDescent="0.3">
      <c r="A25">
        <v>311</v>
      </c>
    </row>
    <row r="26" spans="1:1" x14ac:dyDescent="0.3">
      <c r="A26">
        <v>793</v>
      </c>
    </row>
    <row r="27" spans="1:1" x14ac:dyDescent="0.3">
      <c r="A27">
        <v>769</v>
      </c>
    </row>
    <row r="28" spans="1:1" x14ac:dyDescent="0.3">
      <c r="A28">
        <v>433</v>
      </c>
    </row>
    <row r="29" spans="1:1" x14ac:dyDescent="0.3">
      <c r="A29">
        <v>636</v>
      </c>
    </row>
    <row r="30" spans="1:1" x14ac:dyDescent="0.3">
      <c r="A30">
        <v>695</v>
      </c>
    </row>
    <row r="31" spans="1:1" x14ac:dyDescent="0.3">
      <c r="A31">
        <v>525</v>
      </c>
    </row>
    <row r="32" spans="1:1" x14ac:dyDescent="0.3">
      <c r="A32">
        <v>177</v>
      </c>
    </row>
    <row r="33" spans="1:1" x14ac:dyDescent="0.3">
      <c r="A33">
        <v>625</v>
      </c>
    </row>
    <row r="34" spans="1:1" x14ac:dyDescent="0.3">
      <c r="A34">
        <v>417</v>
      </c>
    </row>
    <row r="35" spans="1:1" x14ac:dyDescent="0.3">
      <c r="A35">
        <v>541</v>
      </c>
    </row>
    <row r="36" spans="1:1" x14ac:dyDescent="0.3">
      <c r="A36">
        <v>592</v>
      </c>
    </row>
    <row r="37" spans="1:1" x14ac:dyDescent="0.3">
      <c r="A37">
        <v>289</v>
      </c>
    </row>
    <row r="38" spans="1:1" x14ac:dyDescent="0.3">
      <c r="A38">
        <v>233</v>
      </c>
    </row>
    <row r="39" spans="1:1" x14ac:dyDescent="0.3">
      <c r="A39">
        <v>472</v>
      </c>
    </row>
    <row r="40" spans="1:1" x14ac:dyDescent="0.3">
      <c r="A40">
        <v>219</v>
      </c>
    </row>
    <row r="41" spans="1:1" x14ac:dyDescent="0.3">
      <c r="A41">
        <v>946</v>
      </c>
    </row>
    <row r="42" spans="1:1" x14ac:dyDescent="0.3">
      <c r="A42">
        <v>165</v>
      </c>
    </row>
    <row r="43" spans="1:1" x14ac:dyDescent="0.3">
      <c r="A43">
        <v>683</v>
      </c>
    </row>
    <row r="44" spans="1:1" x14ac:dyDescent="0.3">
      <c r="A44">
        <v>527</v>
      </c>
    </row>
    <row r="45" spans="1:1" x14ac:dyDescent="0.3">
      <c r="A45">
        <v>576</v>
      </c>
    </row>
    <row r="46" spans="1:1" x14ac:dyDescent="0.3">
      <c r="A46">
        <v>460</v>
      </c>
    </row>
    <row r="47" spans="1:1" x14ac:dyDescent="0.3">
      <c r="A47">
        <v>338</v>
      </c>
    </row>
    <row r="48" spans="1:1" x14ac:dyDescent="0.3">
      <c r="A48">
        <v>363</v>
      </c>
    </row>
    <row r="49" spans="1:1" x14ac:dyDescent="0.3">
      <c r="A49">
        <v>88</v>
      </c>
    </row>
    <row r="50" spans="1:1" x14ac:dyDescent="0.3">
      <c r="A50">
        <v>280</v>
      </c>
    </row>
    <row r="51" spans="1:1" x14ac:dyDescent="0.3">
      <c r="A51">
        <v>404</v>
      </c>
    </row>
    <row r="52" spans="1:1" x14ac:dyDescent="0.3">
      <c r="A52">
        <v>604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DFE62-761F-4154-AD5E-9998B6F1951E}">
  <dimension ref="A1:P52"/>
  <sheetViews>
    <sheetView tabSelected="1" topLeftCell="A7" workbookViewId="0">
      <selection activeCell="R22" sqref="R22"/>
    </sheetView>
  </sheetViews>
  <sheetFormatPr defaultRowHeight="14.4" x14ac:dyDescent="0.3"/>
  <cols>
    <col min="1" max="1" width="10.44140625" customWidth="1"/>
    <col min="3" max="3" width="15" customWidth="1"/>
    <col min="5" max="5" width="15.6640625" customWidth="1"/>
    <col min="7" max="7" width="11.88671875" customWidth="1"/>
    <col min="12" max="12" width="13.6640625" customWidth="1"/>
    <col min="14" max="14" width="16.6640625" customWidth="1"/>
    <col min="16" max="16" width="12.109375" customWidth="1"/>
  </cols>
  <sheetData>
    <row r="1" spans="1:7" x14ac:dyDescent="0.3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</row>
    <row r="2" spans="1:7" x14ac:dyDescent="0.3">
      <c r="A2">
        <v>0.97777777777777797</v>
      </c>
      <c r="B2">
        <v>0.97777777777777797</v>
      </c>
      <c r="C2">
        <v>0.97777777777777797</v>
      </c>
      <c r="D2">
        <v>0.97777777777777797</v>
      </c>
      <c r="E2">
        <v>0.97777777777777797</v>
      </c>
      <c r="F2">
        <v>0.97777777777777797</v>
      </c>
      <c r="G2">
        <v>0.97777777777777797</v>
      </c>
    </row>
    <row r="3" spans="1:7" x14ac:dyDescent="0.3">
      <c r="A3">
        <v>0.97777777777777797</v>
      </c>
      <c r="B3">
        <v>0.93333333333333302</v>
      </c>
      <c r="C3">
        <v>0.93333333333333302</v>
      </c>
      <c r="D3">
        <v>0.93333333333333302</v>
      </c>
      <c r="E3">
        <v>0.95555555555555605</v>
      </c>
      <c r="F3">
        <v>0.93333333333333302</v>
      </c>
      <c r="G3">
        <v>0.93333333333333302</v>
      </c>
    </row>
    <row r="4" spans="1:7" x14ac:dyDescent="0.3">
      <c r="A4">
        <v>0.97777777777777797</v>
      </c>
      <c r="B4">
        <v>0.97777777777777797</v>
      </c>
      <c r="C4">
        <v>0.97777777777777797</v>
      </c>
      <c r="D4">
        <v>0.97777777777777797</v>
      </c>
      <c r="E4">
        <v>0.97777777777777797</v>
      </c>
      <c r="F4">
        <v>0.97777777777777797</v>
      </c>
      <c r="G4">
        <v>0.97777777777777797</v>
      </c>
    </row>
    <row r="5" spans="1:7" x14ac:dyDescent="0.3">
      <c r="A5">
        <v>0.97777777777777797</v>
      </c>
      <c r="B5">
        <v>0.97777777777777797</v>
      </c>
      <c r="C5">
        <v>0.97777777777777797</v>
      </c>
      <c r="D5">
        <v>0.97777777777777797</v>
      </c>
      <c r="E5">
        <v>0.95555555555555605</v>
      </c>
      <c r="F5">
        <v>0.97777777777777797</v>
      </c>
      <c r="G5">
        <v>0.97777777777777797</v>
      </c>
    </row>
    <row r="6" spans="1:7" x14ac:dyDescent="0.3">
      <c r="A6">
        <v>0.91111111111111098</v>
      </c>
      <c r="B6">
        <v>0.88888888888888895</v>
      </c>
      <c r="C6">
        <v>0.88888888888888895</v>
      </c>
      <c r="D6">
        <v>0.88888888888888895</v>
      </c>
      <c r="E6">
        <v>0.86666666666666703</v>
      </c>
      <c r="F6">
        <v>0.88888888888888895</v>
      </c>
      <c r="G6">
        <v>0.88888888888888895</v>
      </c>
    </row>
    <row r="7" spans="1:7" x14ac:dyDescent="0.3">
      <c r="A7">
        <v>0.93333333333333302</v>
      </c>
      <c r="B7">
        <v>0.93333333333333302</v>
      </c>
      <c r="C7">
        <v>0.93333333333333302</v>
      </c>
      <c r="D7">
        <v>0.93333333333333302</v>
      </c>
      <c r="E7">
        <v>0.88888888888888895</v>
      </c>
      <c r="F7">
        <v>0.93333333333333302</v>
      </c>
      <c r="G7">
        <v>0.93333333333333302</v>
      </c>
    </row>
    <row r="8" spans="1:7" x14ac:dyDescent="0.3">
      <c r="A8">
        <v>0.97777777777777797</v>
      </c>
      <c r="B8">
        <v>0.97777777777777797</v>
      </c>
      <c r="C8">
        <v>0.97777777777777797</v>
      </c>
      <c r="D8">
        <v>0.95555555555555605</v>
      </c>
      <c r="E8">
        <v>0.97777777777777797</v>
      </c>
      <c r="F8">
        <v>0.97777777777777797</v>
      </c>
      <c r="G8">
        <v>0.97777777777777797</v>
      </c>
    </row>
    <row r="9" spans="1:7" x14ac:dyDescent="0.3">
      <c r="A9">
        <v>0.93333333333333302</v>
      </c>
      <c r="B9">
        <v>0.93333333333333302</v>
      </c>
      <c r="C9">
        <v>0.93333333333333302</v>
      </c>
      <c r="D9">
        <v>0.93333333333333302</v>
      </c>
      <c r="E9">
        <v>0.93333333333333302</v>
      </c>
      <c r="F9">
        <v>0.93333333333333302</v>
      </c>
      <c r="G9">
        <v>0.93333333333333302</v>
      </c>
    </row>
    <row r="10" spans="1:7" x14ac:dyDescent="0.3">
      <c r="A10">
        <v>0.91111111111111098</v>
      </c>
      <c r="B10">
        <v>0.91111111111111098</v>
      </c>
      <c r="C10">
        <v>0.91111111111111098</v>
      </c>
      <c r="D10">
        <v>0.91111111111111098</v>
      </c>
      <c r="E10">
        <v>0.93333333333333302</v>
      </c>
      <c r="F10">
        <v>0.88888888888888895</v>
      </c>
      <c r="G10">
        <v>0.91111111111111098</v>
      </c>
    </row>
    <row r="11" spans="1:7" x14ac:dyDescent="0.3">
      <c r="A11">
        <v>0.93333333333333302</v>
      </c>
      <c r="B11">
        <v>0.95555555555555605</v>
      </c>
      <c r="C11">
        <v>0.93333333333333302</v>
      </c>
      <c r="D11">
        <v>0.95555555555555605</v>
      </c>
      <c r="E11">
        <v>0.93333333333333302</v>
      </c>
      <c r="F11">
        <v>0.95555555555555605</v>
      </c>
      <c r="G11">
        <v>0.95555555555555605</v>
      </c>
    </row>
    <row r="12" spans="1:7" x14ac:dyDescent="0.3">
      <c r="A12">
        <v>0.97777777777777797</v>
      </c>
      <c r="B12">
        <v>0.97777777777777797</v>
      </c>
      <c r="C12">
        <v>0.97777777777777797</v>
      </c>
      <c r="D12">
        <v>0.97777777777777797</v>
      </c>
      <c r="E12">
        <v>0.97777777777777797</v>
      </c>
      <c r="F12">
        <v>0.97777777777777797</v>
      </c>
      <c r="G12">
        <v>0.97777777777777797</v>
      </c>
    </row>
    <row r="13" spans="1:7" x14ac:dyDescent="0.3">
      <c r="A13">
        <v>0.93333333333333302</v>
      </c>
      <c r="B13">
        <v>0.93333333333333302</v>
      </c>
      <c r="C13">
        <v>0.93333333333333302</v>
      </c>
      <c r="D13">
        <v>0.93333333333333302</v>
      </c>
      <c r="E13">
        <v>0.93333333333333302</v>
      </c>
      <c r="F13">
        <v>0.93333333333333302</v>
      </c>
      <c r="G13">
        <v>0.93333333333333302</v>
      </c>
    </row>
    <row r="14" spans="1:7" x14ac:dyDescent="0.3">
      <c r="A14">
        <v>0.95555555555555605</v>
      </c>
      <c r="B14">
        <v>0.95555555555555605</v>
      </c>
      <c r="C14">
        <v>0.95555555555555605</v>
      </c>
      <c r="D14">
        <v>0.95555555555555605</v>
      </c>
      <c r="E14">
        <v>0.95555555555555605</v>
      </c>
      <c r="F14">
        <v>0.95555555555555605</v>
      </c>
      <c r="G14">
        <v>0.95555555555555605</v>
      </c>
    </row>
    <row r="15" spans="1:7" x14ac:dyDescent="0.3">
      <c r="A15">
        <v>0.91111111111111098</v>
      </c>
      <c r="B15">
        <v>0.91111111111111098</v>
      </c>
      <c r="C15">
        <v>0.91111111111111098</v>
      </c>
      <c r="D15">
        <v>0.91111111111111098</v>
      </c>
      <c r="E15">
        <v>0.95555555555555605</v>
      </c>
      <c r="F15">
        <v>0.91111111111111098</v>
      </c>
      <c r="G15">
        <v>0.91111111111111098</v>
      </c>
    </row>
    <row r="16" spans="1:7" x14ac:dyDescent="0.3">
      <c r="A16">
        <v>1</v>
      </c>
      <c r="B16">
        <v>1</v>
      </c>
      <c r="C16">
        <v>1</v>
      </c>
      <c r="D16">
        <v>1</v>
      </c>
      <c r="E16">
        <v>1</v>
      </c>
      <c r="F16">
        <v>1</v>
      </c>
      <c r="G16">
        <v>0.91111111111111098</v>
      </c>
    </row>
    <row r="17" spans="1:16" x14ac:dyDescent="0.3">
      <c r="A17">
        <v>0.93333333333333302</v>
      </c>
      <c r="B17">
        <v>0.91111111111111098</v>
      </c>
      <c r="C17">
        <v>0.91111111111111098</v>
      </c>
      <c r="D17">
        <v>0.93333333333333302</v>
      </c>
      <c r="E17">
        <v>0.93333333333333302</v>
      </c>
      <c r="F17">
        <v>0.95555555555555605</v>
      </c>
      <c r="G17">
        <v>0.91111111111111098</v>
      </c>
    </row>
    <row r="18" spans="1:16" x14ac:dyDescent="0.3">
      <c r="A18">
        <v>0.91111111111111098</v>
      </c>
      <c r="B18">
        <v>0.91111111111111098</v>
      </c>
      <c r="C18">
        <v>0.91111111111111098</v>
      </c>
      <c r="D18">
        <v>0.91111111111111098</v>
      </c>
      <c r="E18">
        <v>0.91111111111111098</v>
      </c>
      <c r="F18">
        <v>0.91111111111111098</v>
      </c>
      <c r="G18">
        <v>0.91111111111111098</v>
      </c>
      <c r="I18" s="1"/>
      <c r="J18" s="2" t="s">
        <v>20</v>
      </c>
      <c r="K18" s="2"/>
      <c r="L18" s="2"/>
      <c r="M18" s="2"/>
      <c r="N18" s="2"/>
      <c r="O18" s="2"/>
      <c r="P18" s="2"/>
    </row>
    <row r="19" spans="1:16" x14ac:dyDescent="0.3">
      <c r="A19">
        <v>0.91111111111111098</v>
      </c>
      <c r="B19">
        <v>0.93333333333333302</v>
      </c>
      <c r="C19">
        <v>0.93333333333333302</v>
      </c>
      <c r="D19">
        <v>0.91111111111111098</v>
      </c>
      <c r="E19">
        <v>0.97777777777777797</v>
      </c>
      <c r="F19">
        <v>0.93333333333333302</v>
      </c>
      <c r="G19">
        <v>0.91111111111111098</v>
      </c>
      <c r="I19" s="1"/>
      <c r="J19" s="3" t="s">
        <v>13</v>
      </c>
      <c r="K19" s="3" t="s">
        <v>14</v>
      </c>
      <c r="L19" s="3" t="s">
        <v>15</v>
      </c>
      <c r="M19" s="3" t="s">
        <v>16</v>
      </c>
      <c r="N19" s="3" t="s">
        <v>17</v>
      </c>
      <c r="O19" s="3" t="s">
        <v>18</v>
      </c>
      <c r="P19" s="3" t="s">
        <v>19</v>
      </c>
    </row>
    <row r="20" spans="1:16" x14ac:dyDescent="0.3">
      <c r="A20">
        <v>0.97777777777777797</v>
      </c>
      <c r="B20">
        <v>0.97777777777777797</v>
      </c>
      <c r="C20">
        <v>0.97777777777777797</v>
      </c>
      <c r="D20">
        <v>0.97777777777777797</v>
      </c>
      <c r="E20">
        <v>0.97777777777777797</v>
      </c>
      <c r="F20">
        <v>0.97777777777777797</v>
      </c>
      <c r="G20">
        <v>0.97777777777777797</v>
      </c>
      <c r="I20" s="3" t="s">
        <v>21</v>
      </c>
      <c r="J20" s="4">
        <f>AVERAGE(Table1[depth])</f>
        <v>3.7647058823529411</v>
      </c>
      <c r="K20" s="4">
        <f>AVERAGE(Table2[depth])</f>
        <v>3.5490196078431371</v>
      </c>
      <c r="L20" s="4">
        <f>AVERAGE(Table3[depth])</f>
        <v>3.3529411764705883</v>
      </c>
      <c r="M20" s="4">
        <f>AVERAGE(Table4[depth])</f>
        <v>4.0392156862745097</v>
      </c>
      <c r="N20" s="4">
        <f>AVERAGE(Table5[depth])</f>
        <v>5.0784313725490193</v>
      </c>
      <c r="O20" s="4">
        <f>AVERAGE(Table6[depth])</f>
        <v>3.1960784313725492</v>
      </c>
      <c r="P20" s="4">
        <f>AVERAGE(Table7[depth])</f>
        <v>4.0196078431372548</v>
      </c>
    </row>
    <row r="21" spans="1:16" x14ac:dyDescent="0.3">
      <c r="A21">
        <v>1</v>
      </c>
      <c r="B21">
        <v>0.97777777777777797</v>
      </c>
      <c r="C21">
        <v>1</v>
      </c>
      <c r="D21">
        <v>1</v>
      </c>
      <c r="E21">
        <v>1</v>
      </c>
      <c r="F21">
        <v>1</v>
      </c>
      <c r="G21">
        <v>1</v>
      </c>
      <c r="I21" s="3" t="s">
        <v>22</v>
      </c>
      <c r="J21" s="4">
        <f>_xlfn.STDEV.S(Table1[depth])</f>
        <v>0.65079137345596783</v>
      </c>
      <c r="K21" s="4">
        <f>_xlfn.STDEV.S(Table2[depth])</f>
        <v>1.2379616389888028</v>
      </c>
      <c r="L21" s="4">
        <f>_xlfn.STDEV.S(Table3[depth])</f>
        <v>0.97618706018395263</v>
      </c>
      <c r="M21" s="4">
        <f>_xlfn.STDEV.S(Table4[depth])</f>
        <v>1.1128483151575594</v>
      </c>
      <c r="N21" s="4">
        <f>_xlfn.STDEV.S(Table5[depth])</f>
        <v>1.9681782160658317</v>
      </c>
      <c r="O21" s="4">
        <f>_xlfn.STDEV.S(Table6[depth])</f>
        <v>0.9385010994801708</v>
      </c>
      <c r="P21" s="4">
        <f>_xlfn.STDEV.S(Table7[depth])</f>
        <v>1.067524165130352</v>
      </c>
    </row>
    <row r="22" spans="1:16" x14ac:dyDescent="0.3">
      <c r="A22">
        <v>0.95555555555555605</v>
      </c>
      <c r="B22">
        <v>0.93333333333333302</v>
      </c>
      <c r="C22">
        <v>0.93333333333333302</v>
      </c>
      <c r="D22">
        <v>0.95555555555555605</v>
      </c>
      <c r="E22">
        <v>0.95555555555555605</v>
      </c>
      <c r="F22">
        <v>0.93333333333333302</v>
      </c>
      <c r="G22">
        <v>0.95555555555555605</v>
      </c>
      <c r="I22" s="1"/>
      <c r="J22" s="1"/>
      <c r="K22" s="1"/>
      <c r="L22" s="1"/>
      <c r="M22" s="1"/>
      <c r="N22" s="1"/>
      <c r="O22" s="1"/>
      <c r="P22" s="1"/>
    </row>
    <row r="23" spans="1:16" x14ac:dyDescent="0.3">
      <c r="A23">
        <v>0.93333333333333302</v>
      </c>
      <c r="B23">
        <v>0.95555555555555605</v>
      </c>
      <c r="C23">
        <v>0.95555555555555605</v>
      </c>
      <c r="D23">
        <v>0.93333333333333302</v>
      </c>
      <c r="E23">
        <v>0.97777777777777797</v>
      </c>
      <c r="F23">
        <v>1</v>
      </c>
      <c r="G23">
        <v>0.93333333333333302</v>
      </c>
      <c r="I23" s="1"/>
      <c r="J23" s="2" t="s">
        <v>23</v>
      </c>
      <c r="K23" s="2"/>
      <c r="L23" s="2"/>
      <c r="M23" s="2"/>
      <c r="N23" s="2"/>
      <c r="O23" s="2"/>
      <c r="P23" s="2"/>
    </row>
    <row r="24" spans="1:16" x14ac:dyDescent="0.3">
      <c r="A24">
        <v>0.97777777777777797</v>
      </c>
      <c r="B24">
        <v>0.97777777777777797</v>
      </c>
      <c r="C24">
        <v>0.97777777777777797</v>
      </c>
      <c r="D24">
        <v>0.93333333333333302</v>
      </c>
      <c r="E24">
        <v>0.97777777777777797</v>
      </c>
      <c r="F24">
        <v>0.97777777777777797</v>
      </c>
      <c r="G24">
        <v>0.97777777777777797</v>
      </c>
      <c r="I24" s="1"/>
      <c r="J24" s="3" t="s">
        <v>13</v>
      </c>
      <c r="K24" s="3" t="s">
        <v>14</v>
      </c>
      <c r="L24" s="3" t="s">
        <v>15</v>
      </c>
      <c r="M24" s="3" t="s">
        <v>16</v>
      </c>
      <c r="N24" s="3" t="s">
        <v>17</v>
      </c>
      <c r="O24" s="3" t="s">
        <v>18</v>
      </c>
      <c r="P24" s="3" t="s">
        <v>19</v>
      </c>
    </row>
    <row r="25" spans="1:16" x14ac:dyDescent="0.3">
      <c r="A25">
        <v>0.93333333333333302</v>
      </c>
      <c r="B25">
        <v>0.93333333333333302</v>
      </c>
      <c r="C25">
        <v>0.93333333333333302</v>
      </c>
      <c r="D25">
        <v>0.93333333333333302</v>
      </c>
      <c r="E25">
        <v>0.93333333333333302</v>
      </c>
      <c r="F25">
        <v>0.93333333333333302</v>
      </c>
      <c r="G25">
        <v>0.93333333333333302</v>
      </c>
      <c r="I25" s="3" t="s">
        <v>21</v>
      </c>
      <c r="J25" s="4">
        <f>AVERAGE(Table1[leaves])</f>
        <v>5</v>
      </c>
      <c r="K25" s="4">
        <f>AVERAGE(Table2[leaves])</f>
        <v>4.666666666666667</v>
      </c>
      <c r="L25" s="4">
        <f>AVERAGE(Table3[leaves])</f>
        <v>4.4705882352941178</v>
      </c>
      <c r="M25" s="4">
        <f>AVERAGE(Table4[leaves])</f>
        <v>5.2352941176470589</v>
      </c>
      <c r="N25" s="4">
        <f>AVERAGE(Table5[leaves])</f>
        <v>6.1372549019607847</v>
      </c>
      <c r="O25" s="4">
        <f>AVERAGE(Table6[leaves])</f>
        <v>4.2549019607843137</v>
      </c>
      <c r="P25" s="4">
        <f>AVERAGE(Table7[leaves])</f>
        <v>5.215686274509804</v>
      </c>
    </row>
    <row r="26" spans="1:16" x14ac:dyDescent="0.3">
      <c r="A26">
        <v>0.91111111111111098</v>
      </c>
      <c r="B26">
        <v>0.91111111111111098</v>
      </c>
      <c r="C26">
        <v>0.91111111111111098</v>
      </c>
      <c r="D26">
        <v>0.91111111111111098</v>
      </c>
      <c r="E26">
        <v>0.91111111111111098</v>
      </c>
      <c r="F26">
        <v>0.91111111111111098</v>
      </c>
      <c r="G26">
        <v>0.91111111111111098</v>
      </c>
      <c r="I26" s="3" t="s">
        <v>22</v>
      </c>
      <c r="J26" s="4">
        <f>_xlfn.STDEV.S(Table1[leaves])</f>
        <v>0.89442719099991586</v>
      </c>
      <c r="K26" s="4">
        <f>_xlfn.STDEV.S(Table2[leaves])</f>
        <v>1.3515423288475523</v>
      </c>
      <c r="L26" s="4">
        <f>_xlfn.STDEV.S(Table3[leaves])</f>
        <v>1.1375929179890425</v>
      </c>
      <c r="M26" s="4">
        <f>_xlfn.STDEV.S(Table4[leaves])</f>
        <v>1.2261849011322505</v>
      </c>
      <c r="N26" s="4">
        <f>_xlfn.STDEV.S(Table5[leaves])</f>
        <v>1.9495600308083589</v>
      </c>
      <c r="O26" s="4">
        <f>_xlfn.STDEV.S(Table6[leaves])</f>
        <v>1.0167229171195451</v>
      </c>
      <c r="P26" s="4">
        <f>_xlfn.STDEV.S(Table7[leaves])</f>
        <v>1.1885070549255672</v>
      </c>
    </row>
    <row r="27" spans="1:16" x14ac:dyDescent="0.3">
      <c r="A27">
        <v>0.93333333333333302</v>
      </c>
      <c r="B27">
        <v>0.93333333333333302</v>
      </c>
      <c r="C27">
        <v>0.93333333333333302</v>
      </c>
      <c r="D27">
        <v>0.93333333333333302</v>
      </c>
      <c r="E27">
        <v>0.91111111111111098</v>
      </c>
      <c r="F27">
        <v>0.93333333333333302</v>
      </c>
      <c r="G27">
        <v>0.93333333333333302</v>
      </c>
    </row>
    <row r="28" spans="1:16" x14ac:dyDescent="0.3">
      <c r="A28">
        <v>0.91111111111111098</v>
      </c>
      <c r="B28">
        <v>0.88888888888888895</v>
      </c>
      <c r="C28">
        <v>0.91111111111111098</v>
      </c>
      <c r="D28">
        <v>0.88888888888888895</v>
      </c>
      <c r="E28">
        <v>0.88888888888888895</v>
      </c>
      <c r="F28">
        <v>0.88888888888888895</v>
      </c>
      <c r="G28">
        <v>0.91111111111111098</v>
      </c>
    </row>
    <row r="29" spans="1:16" x14ac:dyDescent="0.3">
      <c r="A29">
        <v>0.93333333333333302</v>
      </c>
      <c r="B29">
        <v>0.93333333333333302</v>
      </c>
      <c r="C29">
        <v>0.93333333333333302</v>
      </c>
      <c r="D29">
        <v>0.93333333333333302</v>
      </c>
      <c r="E29">
        <v>0.93333333333333302</v>
      </c>
      <c r="F29">
        <v>0.93333333333333302</v>
      </c>
      <c r="G29">
        <v>0.93333333333333302</v>
      </c>
    </row>
    <row r="30" spans="1:16" x14ac:dyDescent="0.3">
      <c r="A30">
        <v>0.97777777777777797</v>
      </c>
      <c r="B30">
        <v>0.97777777777777797</v>
      </c>
      <c r="C30">
        <v>0.97777777777777797</v>
      </c>
      <c r="D30">
        <v>0.97777777777777797</v>
      </c>
      <c r="E30">
        <v>0.97777777777777797</v>
      </c>
      <c r="F30">
        <v>0.97777777777777797</v>
      </c>
      <c r="G30">
        <v>0.97777777777777797</v>
      </c>
    </row>
    <row r="31" spans="1:16" x14ac:dyDescent="0.3">
      <c r="A31">
        <v>0.88888888888888895</v>
      </c>
      <c r="B31">
        <v>0.88888888888888895</v>
      </c>
      <c r="C31">
        <v>0.88888888888888895</v>
      </c>
      <c r="D31">
        <v>0.88888888888888895</v>
      </c>
      <c r="E31">
        <v>0.91111111111111098</v>
      </c>
      <c r="F31">
        <v>0.88888888888888895</v>
      </c>
      <c r="G31">
        <v>0.88888888888888895</v>
      </c>
    </row>
    <row r="32" spans="1:16" x14ac:dyDescent="0.3">
      <c r="A32">
        <v>0.95555555555555605</v>
      </c>
      <c r="B32">
        <v>0.95555555555555605</v>
      </c>
      <c r="C32">
        <v>0.95555555555555605</v>
      </c>
      <c r="D32">
        <v>0.95555555555555605</v>
      </c>
      <c r="E32">
        <v>0.95555555555555605</v>
      </c>
      <c r="F32">
        <v>0.95555555555555605</v>
      </c>
      <c r="G32">
        <v>0.95555555555555605</v>
      </c>
    </row>
    <row r="33" spans="1:7" x14ac:dyDescent="0.3">
      <c r="A33">
        <v>0.97777777777777797</v>
      </c>
      <c r="B33">
        <v>0.97777777777777797</v>
      </c>
      <c r="C33">
        <v>0.97777777777777797</v>
      </c>
      <c r="D33">
        <v>0.97777777777777797</v>
      </c>
      <c r="E33">
        <v>0.97777777777777797</v>
      </c>
      <c r="F33">
        <v>0.97777777777777797</v>
      </c>
      <c r="G33">
        <v>0.97777777777777797</v>
      </c>
    </row>
    <row r="34" spans="1:7" x14ac:dyDescent="0.3">
      <c r="A34">
        <v>0.91111111111111098</v>
      </c>
      <c r="B34">
        <v>0.91111111111111098</v>
      </c>
      <c r="C34">
        <v>0.91111111111111098</v>
      </c>
      <c r="D34">
        <v>0.91111111111111098</v>
      </c>
      <c r="E34">
        <v>0.91111111111111098</v>
      </c>
      <c r="F34">
        <v>0.91111111111111098</v>
      </c>
      <c r="G34">
        <v>0.91111111111111098</v>
      </c>
    </row>
    <row r="35" spans="1:7" x14ac:dyDescent="0.3">
      <c r="A35">
        <v>0.97777777777777797</v>
      </c>
      <c r="B35">
        <v>0.97777777777777797</v>
      </c>
      <c r="C35">
        <v>0.97777777777777797</v>
      </c>
      <c r="D35">
        <v>0.97777777777777797</v>
      </c>
      <c r="E35">
        <v>0.97777777777777797</v>
      </c>
      <c r="F35">
        <v>0.97777777777777797</v>
      </c>
      <c r="G35">
        <v>0.97777777777777797</v>
      </c>
    </row>
    <row r="36" spans="1:7" x14ac:dyDescent="0.3">
      <c r="A36">
        <v>0.88888888888888895</v>
      </c>
      <c r="B36">
        <v>0.88888888888888895</v>
      </c>
      <c r="C36">
        <v>0.88888888888888895</v>
      </c>
      <c r="D36">
        <v>0.88888888888888895</v>
      </c>
      <c r="E36">
        <v>0.91111111111111098</v>
      </c>
      <c r="F36">
        <v>0.88888888888888895</v>
      </c>
      <c r="G36">
        <v>0.88888888888888895</v>
      </c>
    </row>
    <row r="37" spans="1:7" x14ac:dyDescent="0.3">
      <c r="A37">
        <v>0.95555555555555605</v>
      </c>
      <c r="B37">
        <v>0.95555555555555605</v>
      </c>
      <c r="C37">
        <v>0.95555555555555605</v>
      </c>
      <c r="D37">
        <v>0.95555555555555605</v>
      </c>
      <c r="E37">
        <v>0.95555555555555605</v>
      </c>
      <c r="F37">
        <v>0.95555555555555605</v>
      </c>
      <c r="G37">
        <v>0.95555555555555605</v>
      </c>
    </row>
    <row r="38" spans="1:7" x14ac:dyDescent="0.3">
      <c r="A38">
        <v>0.88888888888888895</v>
      </c>
      <c r="B38">
        <v>0.91111111111111098</v>
      </c>
      <c r="C38">
        <v>0.93333333333333302</v>
      </c>
      <c r="D38">
        <v>0.88888888888888895</v>
      </c>
      <c r="E38">
        <v>0.97777777777777797</v>
      </c>
      <c r="F38">
        <v>0.93333333333333302</v>
      </c>
      <c r="G38">
        <v>0.93333333333333302</v>
      </c>
    </row>
    <row r="39" spans="1:7" x14ac:dyDescent="0.3">
      <c r="A39">
        <v>0.97777777777777797</v>
      </c>
      <c r="B39">
        <v>0.97777777777777797</v>
      </c>
      <c r="C39">
        <v>0.97777777777777797</v>
      </c>
      <c r="D39">
        <v>0.97777777777777797</v>
      </c>
      <c r="E39">
        <v>0.97777777777777797</v>
      </c>
      <c r="F39">
        <v>0.97777777777777797</v>
      </c>
      <c r="G39">
        <v>0.97777777777777797</v>
      </c>
    </row>
    <row r="40" spans="1:7" x14ac:dyDescent="0.3">
      <c r="A40">
        <v>0.91111111111111098</v>
      </c>
      <c r="B40">
        <v>0.86666666666666703</v>
      </c>
      <c r="C40">
        <v>0.86666666666666703</v>
      </c>
      <c r="D40">
        <v>0.91111111111111098</v>
      </c>
      <c r="E40">
        <v>0.88888888888888895</v>
      </c>
      <c r="F40">
        <v>0.88888888888888895</v>
      </c>
      <c r="G40">
        <v>0.91111111111111098</v>
      </c>
    </row>
    <row r="41" spans="1:7" x14ac:dyDescent="0.3">
      <c r="A41">
        <v>0.95555555555555605</v>
      </c>
      <c r="B41">
        <v>0.95555555555555605</v>
      </c>
      <c r="C41">
        <v>0.95555555555555605</v>
      </c>
      <c r="D41">
        <v>0.95555555555555605</v>
      </c>
      <c r="E41">
        <v>0.95555555555555605</v>
      </c>
      <c r="F41">
        <v>0.95555555555555605</v>
      </c>
      <c r="G41">
        <v>0.95555555555555605</v>
      </c>
    </row>
    <row r="42" spans="1:7" x14ac:dyDescent="0.3">
      <c r="A42">
        <v>0.91111111111111098</v>
      </c>
      <c r="B42">
        <v>0.88888888888888895</v>
      </c>
      <c r="C42">
        <v>0.88888888888888895</v>
      </c>
      <c r="D42">
        <v>0.91111111111111098</v>
      </c>
      <c r="E42">
        <v>0.93333333333333302</v>
      </c>
      <c r="F42">
        <v>0.88888888888888895</v>
      </c>
      <c r="G42">
        <v>0.91111111111111098</v>
      </c>
    </row>
    <row r="43" spans="1:7" x14ac:dyDescent="0.3">
      <c r="A43">
        <v>0.93333333333333302</v>
      </c>
      <c r="B43">
        <v>0.93333333333333302</v>
      </c>
      <c r="C43">
        <v>0.93333333333333302</v>
      </c>
      <c r="D43">
        <v>0.93333333333333302</v>
      </c>
      <c r="E43">
        <v>0.93333333333333302</v>
      </c>
      <c r="F43">
        <v>0.93333333333333302</v>
      </c>
      <c r="G43">
        <v>0.93333333333333302</v>
      </c>
    </row>
    <row r="44" spans="1:7" x14ac:dyDescent="0.3">
      <c r="A44">
        <v>0.95555555555555605</v>
      </c>
      <c r="B44">
        <v>0.95555555555555605</v>
      </c>
      <c r="C44">
        <v>0.95555555555555605</v>
      </c>
      <c r="D44">
        <v>0.95555555555555605</v>
      </c>
      <c r="E44">
        <v>0.95555555555555605</v>
      </c>
      <c r="F44">
        <v>0.95555555555555605</v>
      </c>
      <c r="G44">
        <v>0.95555555555555605</v>
      </c>
    </row>
    <row r="45" spans="1:7" x14ac:dyDescent="0.3">
      <c r="A45">
        <v>0.97777777777777797</v>
      </c>
      <c r="B45">
        <v>0.97777777777777797</v>
      </c>
      <c r="C45">
        <v>0.97777777777777797</v>
      </c>
      <c r="D45">
        <v>0.97777777777777797</v>
      </c>
      <c r="E45">
        <v>1</v>
      </c>
      <c r="F45">
        <v>1</v>
      </c>
      <c r="G45">
        <v>0.97777777777777797</v>
      </c>
    </row>
    <row r="46" spans="1:7" x14ac:dyDescent="0.3">
      <c r="A46">
        <v>0.97777777777777797</v>
      </c>
      <c r="B46">
        <v>0.97777777777777797</v>
      </c>
      <c r="C46">
        <v>0.97777777777777797</v>
      </c>
      <c r="D46">
        <v>0.97777777777777797</v>
      </c>
      <c r="E46">
        <v>0.97777777777777797</v>
      </c>
      <c r="F46">
        <v>0.97777777777777797</v>
      </c>
      <c r="G46">
        <v>0.97777777777777797</v>
      </c>
    </row>
    <row r="47" spans="1:7" x14ac:dyDescent="0.3">
      <c r="A47">
        <v>0.95555555555555605</v>
      </c>
      <c r="B47">
        <v>0.95555555555555605</v>
      </c>
      <c r="C47">
        <v>0.95555555555555605</v>
      </c>
      <c r="D47">
        <v>0.95555555555555605</v>
      </c>
      <c r="E47">
        <v>0.93333333333333302</v>
      </c>
      <c r="F47">
        <v>0.95555555555555605</v>
      </c>
      <c r="G47">
        <v>0.95555555555555605</v>
      </c>
    </row>
    <row r="48" spans="1:7" x14ac:dyDescent="0.3">
      <c r="A48">
        <v>0.97777777777777797</v>
      </c>
      <c r="B48">
        <v>0.88888888888888895</v>
      </c>
      <c r="C48">
        <v>0.88888888888888895</v>
      </c>
      <c r="D48">
        <v>0.95555555555555605</v>
      </c>
      <c r="E48">
        <v>0.97777777777777797</v>
      </c>
      <c r="F48">
        <v>0.88888888888888895</v>
      </c>
      <c r="G48">
        <v>0.88888888888888895</v>
      </c>
    </row>
    <row r="49" spans="1:7" x14ac:dyDescent="0.3">
      <c r="A49">
        <v>0.95555555555555605</v>
      </c>
      <c r="B49">
        <v>0.95555555555555605</v>
      </c>
      <c r="C49">
        <v>0.95555555555555605</v>
      </c>
      <c r="D49">
        <v>0.95555555555555605</v>
      </c>
      <c r="E49">
        <v>0.95555555555555605</v>
      </c>
      <c r="F49">
        <v>0.95555555555555605</v>
      </c>
      <c r="G49">
        <v>0.95555555555555605</v>
      </c>
    </row>
    <row r="50" spans="1:7" x14ac:dyDescent="0.3">
      <c r="A50">
        <v>0.93333333333333302</v>
      </c>
      <c r="B50">
        <v>0.93333333333333302</v>
      </c>
      <c r="C50">
        <v>0.93333333333333302</v>
      </c>
      <c r="D50">
        <v>0.93333333333333302</v>
      </c>
      <c r="E50">
        <v>0.93333333333333302</v>
      </c>
      <c r="F50">
        <v>0.93333333333333302</v>
      </c>
      <c r="G50">
        <v>0.93333333333333302</v>
      </c>
    </row>
    <row r="51" spans="1:7" x14ac:dyDescent="0.3">
      <c r="A51">
        <v>0.88888888888888895</v>
      </c>
      <c r="B51">
        <v>0.88888888888888895</v>
      </c>
      <c r="C51">
        <v>0.88888888888888895</v>
      </c>
      <c r="D51">
        <v>0.88888888888888895</v>
      </c>
      <c r="E51">
        <v>0.91111111111111098</v>
      </c>
      <c r="F51">
        <v>0.88888888888888895</v>
      </c>
      <c r="G51">
        <v>0.88888888888888895</v>
      </c>
    </row>
    <row r="52" spans="1:7" x14ac:dyDescent="0.3">
      <c r="A52">
        <v>0.93333333333333302</v>
      </c>
      <c r="B52">
        <v>0.93333333333333302</v>
      </c>
      <c r="C52">
        <v>0.93333333333333302</v>
      </c>
      <c r="D52">
        <v>0.93333333333333302</v>
      </c>
      <c r="E52">
        <v>0.95555555555555605</v>
      </c>
      <c r="F52">
        <v>0.93333333333333302</v>
      </c>
      <c r="G52">
        <v>0.93333333333333302</v>
      </c>
    </row>
  </sheetData>
  <mergeCells count="5">
    <mergeCell ref="J18:P18"/>
    <mergeCell ref="I18:I19"/>
    <mergeCell ref="I23:I24"/>
    <mergeCell ref="J23:P23"/>
    <mergeCell ref="I22:P22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Shannon</vt:lpstr>
      <vt:lpstr>Renyi</vt:lpstr>
      <vt:lpstr>Sharma_Mittal</vt:lpstr>
      <vt:lpstr>Tsallis</vt:lpstr>
      <vt:lpstr>Sharma_Taneja</vt:lpstr>
      <vt:lpstr>Kapur</vt:lpstr>
      <vt:lpstr>Kaniadakis</vt:lpstr>
      <vt:lpstr>index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Αλέξανδρος Κορολής</cp:lastModifiedBy>
  <dcterms:created xsi:type="dcterms:W3CDTF">2025-11-26T21:42:32Z</dcterms:created>
  <dcterms:modified xsi:type="dcterms:W3CDTF">2025-11-27T18:23:13Z</dcterms:modified>
</cp:coreProperties>
</file>