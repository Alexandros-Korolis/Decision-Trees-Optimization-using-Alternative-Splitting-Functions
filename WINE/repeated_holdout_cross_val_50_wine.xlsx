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3_ncr:1_{4E68802C-364C-4ADE-969C-8B05D39E9FD8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Summary" sheetId="9" r:id="rId9"/>
  </sheets>
  <definedNames>
    <definedName name="_xlchart.v1.0" hidden="1">Summary!$A$1</definedName>
    <definedName name="_xlchart.v1.1" hidden="1">Summary!$A$2:$A$52</definedName>
    <definedName name="_xlchart.v1.10" hidden="1">Summary!$F$1</definedName>
    <definedName name="_xlchart.v1.11" hidden="1">Summary!$F$2:$F$52</definedName>
    <definedName name="_xlchart.v1.12" hidden="1">Summary!$G$1</definedName>
    <definedName name="_xlchart.v1.13" hidden="1">Summary!$G$2:$G$52</definedName>
    <definedName name="_xlchart.v1.2" hidden="1">Summary!$B$1</definedName>
    <definedName name="_xlchart.v1.3" hidden="1">Summary!$B$2:$B$52</definedName>
    <definedName name="_xlchart.v1.4" hidden="1">Summary!$C$1</definedName>
    <definedName name="_xlchart.v1.5" hidden="1">Summary!$C$2:$C$52</definedName>
    <definedName name="_xlchart.v1.6" hidden="1">Summary!$D$1</definedName>
    <definedName name="_xlchart.v1.7" hidden="1">Summary!$D$2:$D$52</definedName>
    <definedName name="_xlchart.v1.8" hidden="1">Summary!$E$1</definedName>
    <definedName name="_xlchart.v1.9" hidden="1">Summary!$E$2:$E$52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9" l="1"/>
  <c r="O32" i="9"/>
  <c r="N32" i="9"/>
  <c r="M32" i="9"/>
  <c r="L32" i="9"/>
  <c r="K32" i="9"/>
  <c r="J32" i="9"/>
  <c r="P31" i="9"/>
  <c r="O31" i="9"/>
  <c r="N31" i="9"/>
  <c r="M31" i="9"/>
  <c r="L31" i="9"/>
  <c r="K31" i="9"/>
  <c r="J31" i="9"/>
  <c r="P26" i="9"/>
  <c r="P25" i="9"/>
  <c r="O26" i="9"/>
  <c r="O25" i="9"/>
  <c r="N26" i="9"/>
  <c r="N25" i="9"/>
  <c r="M26" i="9"/>
  <c r="M25" i="9"/>
  <c r="L26" i="9"/>
  <c r="L25" i="9"/>
  <c r="K26" i="9"/>
  <c r="K25" i="9"/>
  <c r="J26" i="9"/>
  <c r="J25" i="9"/>
  <c r="P21" i="9"/>
  <c r="O21" i="9"/>
  <c r="N21" i="9"/>
  <c r="M21" i="9"/>
  <c r="L21" i="9"/>
  <c r="K21" i="9"/>
  <c r="J21" i="9"/>
  <c r="J20" i="9"/>
  <c r="P20" i="9"/>
  <c r="O20" i="9"/>
  <c r="N20" i="9"/>
  <c r="M20" i="9"/>
  <c r="L20" i="9"/>
  <c r="K20" i="9"/>
</calcChain>
</file>

<file path=xl/sharedStrings.xml><?xml version="1.0" encoding="utf-8"?>
<sst xmlns="http://schemas.openxmlformats.org/spreadsheetml/2006/main" count="117" uniqueCount="25">
  <si>
    <t>accuracy</t>
  </si>
  <si>
    <t>depth</t>
  </si>
  <si>
    <t>leaves</t>
  </si>
  <si>
    <t>recall_1</t>
  </si>
  <si>
    <t>recall_2</t>
  </si>
  <si>
    <t>recall_3</t>
  </si>
  <si>
    <t>f1_1</t>
  </si>
  <si>
    <t>f1_2</t>
  </si>
  <si>
    <t>f1_3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</si>
  <si>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</si>
  <si>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</si>
  <si>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</si>
  <si>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</si>
  <si>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</si>
  <si>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</si>
  <si>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</si>
  <si>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</si>
  <si>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</si>
  <si>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</si>
  <si>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</si>
  <si>
    <t>DEPTH</t>
  </si>
  <si>
    <t>MEAN</t>
  </si>
  <si>
    <t>SD</t>
  </si>
  <si>
    <t>LEAVES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</si>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</sst>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>
      <cx:tx>
        <cx:txData>
          <cx:v>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Accuracy</a:t>
          </a:r>
        </a:p>
      </cx:txPr>
    </cx:title>
    <cx:plotArea>
      <cx:plotAreaRegion>
        <cx:series layoutId="boxWhisker" uniqueId="{C5C845F9-2422-4713-B58C-6F0CB36B79AA}">
          <cx:tx>
            <cx:txData>
              <cx:f>_xlchart.v1.0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4897EA4-0300-434F-9806-09B73D7DEB58}">
          <cx:tx>
            <cx:txData>
              <cx:f>_xlchart.v1.2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5259322-97CF-4A32-8B23-B196DC5C1D4E}">
          <cx:tx>
            <cx:txData>
              <cx:f>_xlchart.v1.4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10D897E-A6EF-4BB8-91D0-DE9C7046863C}">
          <cx:tx>
            <cx:txData>
              <cx:f>_xlchart.v1.6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14C8003-AC3E-4FF9-AE1A-3F2B6CA6EEF7}">
          <cx:tx>
            <cx:txData>
              <cx:f>_xlchart.v1.8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C0DFA45-513B-4CDE-B58A-FDD9D07F041F}">
          <cx:tx>
            <cx:txData>
              <cx:f>_xlchart.v1.10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610D6E46-A4A7-4172-821E-DB902574A5EF}">
          <cx:tx>
            <cx:txData>
              <cx:f>_xlchart.v1.12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129999995"/>
        <cx:tickLabels/>
      </cx:axis>
      <cx:axis id="1">
        <cx:valScaling max="1" min="0.80000000000000004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</xdr:row>
      <xdr:rowOff>3810</xdr:rowOff>
    </xdr:from>
    <xdr:to>
      <xdr:col>17</xdr:col>
      <xdr:colOff>243840</xdr:colOff>
      <xdr:row>16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5B5121-57BF-9ED5-69EA-703CF2508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5580" y="186690"/>
              <a:ext cx="6972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32B5A-E202-40F2-BDAB-A78B9CA67AD5}" name="Table1" displayName="Table1" ref="A1:J51" totalsRowShown="0">
  <autoFilter ref="A1:J51" xr:uid="{DD232B5A-E202-40F2-BDAB-A78B9CA67AD5}"/>
  <sortState xmlns:xlrd2="http://schemas.microsoft.com/office/spreadsheetml/2017/richdata2" ref="A2:J51">
    <sortCondition descending="1" ref="A1:A51"/>
  </sortState>
  <tableColumns count="10">
    <tableColumn id="1" xr3:uid="{B9836B02-42A5-4E68-AEB3-AF3147F0B35F}" name="accuracy"/>
    <tableColumn id="2" xr3:uid="{AE60F2C5-122D-4FD8-AD0F-8E8B0118EFC3}" name="depth"/>
    <tableColumn id="3" xr3:uid="{0C94CB4E-EFB2-4D10-ABDA-EC06110B176D}" name="leaves"/>
    <tableColumn id="4" xr3:uid="{BB29A099-5BD2-4A36-83D7-729BD608AFE0}" name="recall_1"/>
    <tableColumn id="5" xr3:uid="{4BB31780-D108-4F8B-944E-0E8FB259094B}" name="recall_2"/>
    <tableColumn id="6" xr3:uid="{D4B5B2F2-9B40-41AB-A6D9-D0E062475880}" name="recall_3"/>
    <tableColumn id="7" xr3:uid="{70D5A0BE-0E1A-46BA-9B8D-5538F86B6512}" name="f1_1"/>
    <tableColumn id="8" xr3:uid="{B84D803D-5363-44B2-8CD5-B23A29819906}" name="f1_2"/>
    <tableColumn id="9" xr3:uid="{64128696-C27A-47C8-A3F6-972A71E1584E}" name="f1_3"/>
    <tableColumn id="10" xr3:uid="{0FC0CB26-54D8-4436-87A5-53F40696FBC7}" name="s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0AB71-9CC5-44FA-B513-CD1EA7634E5C}" name="Table2" displayName="Table2" ref="A1:K51" totalsRowShown="0">
  <autoFilter ref="A1:K51" xr:uid="{D810AB71-9CC5-44FA-B513-CD1EA7634E5C}"/>
  <sortState xmlns:xlrd2="http://schemas.microsoft.com/office/spreadsheetml/2017/richdata2" ref="A2:K51">
    <sortCondition descending="1" ref="A1:A51"/>
  </sortState>
  <tableColumns count="11">
    <tableColumn id="1" xr3:uid="{67771FB2-6F0A-4A78-A731-3D7DAB1EA3E8}" name="accuracy"/>
    <tableColumn id="2" xr3:uid="{EF4D1D7D-BB2E-4E2A-853D-4BB93CE41707}" name="entropy_parameter"/>
    <tableColumn id="3" xr3:uid="{B1BC1E19-4D47-444F-99AA-209C7C2F0E77}" name="depth"/>
    <tableColumn id="4" xr3:uid="{00B0319D-7C36-41B1-B378-D035990D15D0}" name="leaves"/>
    <tableColumn id="5" xr3:uid="{7FC65587-E5ED-4129-9A42-4DF9EDF12F92}" name="recall_1"/>
    <tableColumn id="6" xr3:uid="{FAB685A2-EF0C-4D32-A85B-E90D231A769B}" name="recall_2"/>
    <tableColumn id="7" xr3:uid="{501B5671-024E-4BFA-B5AA-19430FC00339}" name="recall_3"/>
    <tableColumn id="8" xr3:uid="{0FE3376B-EF0A-49FA-B36E-194DE5C94E5D}" name="f1_1"/>
    <tableColumn id="9" xr3:uid="{D6793864-4EBA-4FC2-97F4-DEC469B560AA}" name="f1_2"/>
    <tableColumn id="10" xr3:uid="{8908C488-0964-4BF5-BD9B-892BA68A3AE2}" name="f1_3"/>
    <tableColumn id="11" xr3:uid="{B3B3CD54-7B81-416C-829E-A6920572DA89}" name="se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BE8D43-D3B7-424C-90C4-7569C22BA729}" name="Table3" displayName="Table3" ref="A1:L51" totalsRowShown="0">
  <autoFilter ref="A1:L51" xr:uid="{FBBE8D43-D3B7-424C-90C4-7569C22BA729}"/>
  <tableColumns count="12">
    <tableColumn id="1" xr3:uid="{6FD49770-4D6A-449F-A57C-700C63B38EB0}" name="accuracy"/>
    <tableColumn id="2" xr3:uid="{875DC452-AB9A-402C-B348-FB54CE28DD1F}" name="entropy_parameter_one"/>
    <tableColumn id="3" xr3:uid="{E745348C-044F-4195-98E4-6EFA741691EE}" name="entropy_parameter_two"/>
    <tableColumn id="4" xr3:uid="{971CE08D-F03D-44D7-BAC2-05421A6F3A3F}" name="depth"/>
    <tableColumn id="5" xr3:uid="{B69C981E-DFE9-4B71-A448-6C9F34AC8957}" name="leaves"/>
    <tableColumn id="6" xr3:uid="{6B9A3831-D5CD-40EF-B6AB-4154CC56C241}" name="recall_1"/>
    <tableColumn id="7" xr3:uid="{697676D9-C22C-4E27-B39F-C087515D97A7}" name="recall_2"/>
    <tableColumn id="8" xr3:uid="{7467497B-2786-4318-A209-7B1D0AEB3FA4}" name="recall_3"/>
    <tableColumn id="9" xr3:uid="{EAEC7DE4-8C40-4267-9DB0-D24585966AA3}" name="f1_1"/>
    <tableColumn id="10" xr3:uid="{AC18CCFD-0D6F-4E7F-A017-151A715F68DD}" name="f1_2"/>
    <tableColumn id="11" xr3:uid="{9921D8EF-AD04-4F25-B70F-BB84D5D1390A}" name="f1_3"/>
    <tableColumn id="12" xr3:uid="{9737E419-382C-4E7B-9BEF-6EC53FECC60D}" name="se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45710B-8B63-4D3D-9ED1-56D8B657AABC}" name="Table4" displayName="Table4" ref="A1:K51" totalsRowShown="0">
  <autoFilter ref="A1:K51" xr:uid="{E645710B-8B63-4D3D-9ED1-56D8B657AABC}"/>
  <tableColumns count="11">
    <tableColumn id="1" xr3:uid="{573BF08F-E120-4C03-821F-A1FB66D5B7DA}" name="accuracy"/>
    <tableColumn id="2" xr3:uid="{C7ABCFDB-ADFF-40FD-95C3-11FFB16907FB}" name="entropy_parameter"/>
    <tableColumn id="3" xr3:uid="{17F6E787-A444-4584-B553-D0F82D6EDCC4}" name="depth"/>
    <tableColumn id="4" xr3:uid="{FA805EB1-7ED4-412F-9231-EB38DAA7E264}" name="leaves"/>
    <tableColumn id="5" xr3:uid="{8A37F20B-3E49-4759-97EE-B4E7227E0F9A}" name="recall_1"/>
    <tableColumn id="6" xr3:uid="{E4F7E279-BDAE-4302-A67A-942FA0A73190}" name="recall_2"/>
    <tableColumn id="7" xr3:uid="{0D01EC50-A19C-43CB-8684-3CCA920D439F}" name="recall_3"/>
    <tableColumn id="8" xr3:uid="{DB67D2FD-291C-4764-BB6E-92A8615BDEC4}" name="f1_1"/>
    <tableColumn id="9" xr3:uid="{438C98C9-7C82-40A5-895E-A3250A172B93}" name="f1_2"/>
    <tableColumn id="10" xr3:uid="{41E168D0-56F1-4B77-9A2B-9975A6B654F7}" name="f1_3"/>
    <tableColumn id="11" xr3:uid="{403E21B0-FEC0-40DA-806C-033D150E90DB}" name="se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E9AB39-732C-49E2-BC61-40A462318E49}" name="Table5" displayName="Table5" ref="A1:L51" totalsRowShown="0">
  <autoFilter ref="A1:L51" xr:uid="{51E9AB39-732C-49E2-BC61-40A462318E49}"/>
  <tableColumns count="12">
    <tableColumn id="1" xr3:uid="{CF024F04-F371-4D9A-9EAB-FD53C027DB67}" name="accuracy"/>
    <tableColumn id="2" xr3:uid="{DE595B82-49EF-4E43-B563-1AF193EE9717}" name="entropy_parameter_one"/>
    <tableColumn id="3" xr3:uid="{9EE62882-91EC-4458-BAE3-EAE1DB200A0C}" name="entropy_parameter_two"/>
    <tableColumn id="4" xr3:uid="{360CCCCB-0BC2-4F74-ACC7-664F8F629CBD}" name="depth"/>
    <tableColumn id="5" xr3:uid="{8A03CCD9-E2CA-4BE2-9F9F-4F10E4F53562}" name="leaves"/>
    <tableColumn id="6" xr3:uid="{3FE3A050-8D0D-4B19-B1B6-7B8FF0AB4E78}" name="recall_1"/>
    <tableColumn id="7" xr3:uid="{202A9F76-7275-4D2E-BD6D-5E77F604DBF6}" name="recall_2"/>
    <tableColumn id="8" xr3:uid="{0D592AEF-0438-466E-AA12-B4CDD40B46A8}" name="recall_3"/>
    <tableColumn id="9" xr3:uid="{91EC6626-02EB-438F-95B4-769A4D9E5A19}" name="f1_1"/>
    <tableColumn id="10" xr3:uid="{90F687CC-3D79-4526-A3AD-223B4F323DAF}" name="f1_2"/>
    <tableColumn id="11" xr3:uid="{6B8C0A21-1710-4BA3-ABAD-E4F7D72F77FF}" name="f1_3"/>
    <tableColumn id="12" xr3:uid="{16178DBE-13EF-4E39-8D6C-4C03E282B263}" name="se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D90FCD-6704-4663-9666-0D1FB52DCF4C}" name="Table6" displayName="Table6" ref="A1:L51" totalsRowShown="0">
  <autoFilter ref="A1:L51" xr:uid="{90D90FCD-6704-4663-9666-0D1FB52DCF4C}"/>
  <tableColumns count="12">
    <tableColumn id="1" xr3:uid="{029B29A7-AFD6-40CE-A8D0-3FF1677F9DA9}" name="accuracy"/>
    <tableColumn id="2" xr3:uid="{F0194D95-E3D8-466C-873E-9AC0E6AC2F64}" name="entropy_parameter_one"/>
    <tableColumn id="3" xr3:uid="{CC4E730D-4D76-4FEF-8846-D87EF62A4109}" name="entropy_parameter_two"/>
    <tableColumn id="4" xr3:uid="{7C53B273-3999-4CC6-BB91-2EC3956F447B}" name="depth"/>
    <tableColumn id="5" xr3:uid="{B61D0D2C-E522-4249-B899-9A7B4BACD2D3}" name="leaves"/>
    <tableColumn id="6" xr3:uid="{EF15901C-C344-41EB-87B0-6F73CFE776F6}" name="recall_1"/>
    <tableColumn id="7" xr3:uid="{6931293D-95EB-41B1-A03A-74FD315F66FE}" name="recall_2"/>
    <tableColumn id="8" xr3:uid="{AEEDA435-8E50-4B40-91E0-06B9C00F0A8E}" name="recall_3"/>
    <tableColumn id="9" xr3:uid="{39922D98-3032-4DA5-92D6-D4AA86A18D1C}" name="f1_1"/>
    <tableColumn id="10" xr3:uid="{4BB195E1-31C2-424B-A4A5-8989C3AB14B1}" name="f1_2"/>
    <tableColumn id="11" xr3:uid="{D4C73E25-0EC7-4B38-B530-D24FD68F3143}" name="f1_3"/>
    <tableColumn id="12" xr3:uid="{BF623945-38A5-4A51-A569-3F75B30E80E4}" name="se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4B82A3-62EF-4B33-BCF6-09DF26B239B4}" name="Table7" displayName="Table7" ref="A1:K51" totalsRowShown="0">
  <autoFilter ref="A1:K51" xr:uid="{574B82A3-62EF-4B33-BCF6-09DF26B239B4}"/>
  <tableColumns count="11">
    <tableColumn id="1" xr3:uid="{5BD43EE5-A37D-484A-8EF7-F7C52B058BEA}" name="accuracy"/>
    <tableColumn id="2" xr3:uid="{C57C16F5-FE54-41C5-B87C-4B130349DC41}" name="entropy_parameter"/>
    <tableColumn id="3" xr3:uid="{A8940877-E24E-459D-91D9-0817D3F3658A}" name="depth"/>
    <tableColumn id="4" xr3:uid="{A5279F89-C031-4C09-8A9C-99815E018323}" name="leaves"/>
    <tableColumn id="5" xr3:uid="{1C33D709-0FFD-45D0-B1DE-E4423E62E92F}" name="recall_1"/>
    <tableColumn id="6" xr3:uid="{9420F9AD-FA2D-470D-A1BF-61ADE32A3BA4}" name="recall_2"/>
    <tableColumn id="7" xr3:uid="{4BA834BF-531A-431E-B7EA-8CEA86C6E398}" name="recall_3"/>
    <tableColumn id="8" xr3:uid="{16EA0925-DCB9-4DC9-A3DD-62B5CC7E978C}" name="f1_1"/>
    <tableColumn id="9" xr3:uid="{8B6ABF88-F8FE-457F-9E32-F3031CA6C382}" name="f1_2"/>
    <tableColumn id="10" xr3:uid="{05127926-121F-4C5A-8068-5A50C22B9B86}" name="f1_3"/>
    <tableColumn id="11" xr3:uid="{3A350220-A7D2-4928-B513-9AC34007FE6C}" name="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8D3DA0-A4CF-4687-B0A6-37DCF304F88F}" name="Table8" displayName="Table8" ref="A1:A51" totalsRowShown="0">
  <autoFilter ref="A1:A51" xr:uid="{D78D3DA0-A4CF-4687-B0A6-37DCF304F88F}"/>
  <tableColumns count="1">
    <tableColumn id="1" xr3:uid="{96C9A5EC-B498-475E-BA18-952C18AF1BCF}" name="se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77CD39-FA6D-4E7F-87A0-A168C1C395B1}" name="Table9" displayName="Table9" ref="A1:G51" totalsRowShown="0">
  <autoFilter ref="A1:G51" xr:uid="{F077CD39-FA6D-4E7F-87A0-A168C1C395B1}"/>
  <tableColumns count="7">
    <tableColumn id="1" xr3:uid="{93694D19-BA29-40A0-B7E8-795F4A1CEEA8}" name="Shannon"/>
    <tableColumn id="2" xr3:uid="{F103B1E9-2E9E-48CC-9FAA-323C1D65A6DB}" name="Renyi"/>
    <tableColumn id="3" xr3:uid="{CDAE744E-8662-4D3E-AE46-902B32FA7B8C}" name="Sharma-Mittal"/>
    <tableColumn id="4" xr3:uid="{6EFE45AE-D5AC-4EA4-BCD6-874CFEF08DEB}" name="Tsallis"/>
    <tableColumn id="5" xr3:uid="{11DC60E1-30BC-4F3D-B12F-B64C21DD2D0D}" name="Sharma-Taneja"/>
    <tableColumn id="6" xr3:uid="{9D32AEB6-6D14-46D5-99E8-83942C19FCE6}" name="Kapur"/>
    <tableColumn id="7" xr3:uid="{E9989105-9BB5-4F9C-B52A-E31EB31F9C80}" name="Kaniadak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sqref="A1:A1048576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3">
      <c r="A2">
        <v>0.96363636363636396</v>
      </c>
      <c r="B2">
        <v>4</v>
      </c>
      <c r="C2">
        <v>7</v>
      </c>
      <c r="D2">
        <v>1</v>
      </c>
      <c r="E2">
        <v>0.95454545454545503</v>
      </c>
      <c r="F2">
        <v>0.93333333333333302</v>
      </c>
      <c r="G2">
        <v>0.94736842105263197</v>
      </c>
      <c r="H2">
        <v>0.97674418604651203</v>
      </c>
      <c r="I2">
        <v>0.96551724137931005</v>
      </c>
      <c r="J2">
        <v>719</v>
      </c>
    </row>
    <row r="3" spans="1:10" x14ac:dyDescent="0.3">
      <c r="A3">
        <v>0.96363636363636396</v>
      </c>
      <c r="B3">
        <v>3</v>
      </c>
      <c r="C3">
        <v>5</v>
      </c>
      <c r="D3">
        <v>1</v>
      </c>
      <c r="E3">
        <v>0.95454545454545503</v>
      </c>
      <c r="F3">
        <v>0.93333333333333302</v>
      </c>
      <c r="G3">
        <v>0.97297297297297303</v>
      </c>
      <c r="H3">
        <v>0.95454545454545503</v>
      </c>
      <c r="I3">
        <v>0.96551724137931005</v>
      </c>
      <c r="J3">
        <v>44</v>
      </c>
    </row>
    <row r="4" spans="1:10" x14ac:dyDescent="0.3">
      <c r="A4">
        <v>0.96363636363636396</v>
      </c>
      <c r="B4">
        <v>4</v>
      </c>
      <c r="C4">
        <v>6</v>
      </c>
      <c r="D4">
        <v>1</v>
      </c>
      <c r="E4">
        <v>1</v>
      </c>
      <c r="F4">
        <v>0.86666666666666703</v>
      </c>
      <c r="G4">
        <v>1</v>
      </c>
      <c r="H4">
        <v>0.95652173913043503</v>
      </c>
      <c r="I4">
        <v>0.92857142857142905</v>
      </c>
      <c r="J4">
        <v>318</v>
      </c>
    </row>
    <row r="5" spans="1:10" x14ac:dyDescent="0.3">
      <c r="A5">
        <v>0.96363636363636396</v>
      </c>
      <c r="B5">
        <v>3</v>
      </c>
      <c r="C5">
        <v>5</v>
      </c>
      <c r="D5">
        <v>0.94444444444444398</v>
      </c>
      <c r="E5">
        <v>1</v>
      </c>
      <c r="F5">
        <v>0.93333333333333302</v>
      </c>
      <c r="G5">
        <v>0.97142857142857097</v>
      </c>
      <c r="H5">
        <v>0.95652173913043503</v>
      </c>
      <c r="I5">
        <v>0.96551724137931005</v>
      </c>
      <c r="J5">
        <v>202</v>
      </c>
    </row>
    <row r="6" spans="1:10" x14ac:dyDescent="0.3">
      <c r="A6">
        <v>0.94545454545454499</v>
      </c>
      <c r="B6">
        <v>3</v>
      </c>
      <c r="C6">
        <v>5</v>
      </c>
      <c r="D6">
        <v>1</v>
      </c>
      <c r="E6">
        <v>0.90909090909090895</v>
      </c>
      <c r="F6">
        <v>0.93333333333333302</v>
      </c>
      <c r="G6">
        <v>0.97297297297297303</v>
      </c>
      <c r="H6">
        <v>0.93023255813953498</v>
      </c>
      <c r="I6">
        <v>0.93333333333333302</v>
      </c>
      <c r="J6">
        <v>328</v>
      </c>
    </row>
    <row r="7" spans="1:10" x14ac:dyDescent="0.3">
      <c r="A7">
        <v>0.94545454545454499</v>
      </c>
      <c r="B7">
        <v>4</v>
      </c>
      <c r="C7">
        <v>7</v>
      </c>
      <c r="D7">
        <v>0.94444444444444398</v>
      </c>
      <c r="E7">
        <v>0.90909090909090895</v>
      </c>
      <c r="F7">
        <v>1</v>
      </c>
      <c r="G7">
        <v>0.97142857142857097</v>
      </c>
      <c r="H7">
        <v>0.93023255813953498</v>
      </c>
      <c r="I7">
        <v>0.9375</v>
      </c>
      <c r="J7">
        <v>975</v>
      </c>
    </row>
    <row r="8" spans="1:10" x14ac:dyDescent="0.3">
      <c r="A8">
        <v>0.94545454545454499</v>
      </c>
      <c r="B8">
        <v>3</v>
      </c>
      <c r="C8">
        <v>7</v>
      </c>
      <c r="D8">
        <v>1</v>
      </c>
      <c r="E8">
        <v>0.86363636363636398</v>
      </c>
      <c r="F8">
        <v>1</v>
      </c>
      <c r="G8">
        <v>0.92307692307692302</v>
      </c>
      <c r="H8">
        <v>0.92682926829268297</v>
      </c>
      <c r="I8">
        <v>1</v>
      </c>
      <c r="J8">
        <v>108</v>
      </c>
    </row>
    <row r="9" spans="1:10" x14ac:dyDescent="0.3">
      <c r="A9">
        <v>0.92727272727272703</v>
      </c>
      <c r="B9">
        <v>6</v>
      </c>
      <c r="C9">
        <v>8</v>
      </c>
      <c r="D9">
        <v>1</v>
      </c>
      <c r="E9">
        <v>0.90909090909090895</v>
      </c>
      <c r="F9">
        <v>0.86666666666666703</v>
      </c>
      <c r="G9">
        <v>0.97297297297297303</v>
      </c>
      <c r="H9">
        <v>0.90909090909090895</v>
      </c>
      <c r="I9">
        <v>0.89655172413793105</v>
      </c>
      <c r="J9">
        <v>928</v>
      </c>
    </row>
    <row r="10" spans="1:10" x14ac:dyDescent="0.3">
      <c r="A10">
        <v>0.92727272727272703</v>
      </c>
      <c r="B10">
        <v>5</v>
      </c>
      <c r="C10">
        <v>7</v>
      </c>
      <c r="D10">
        <v>1</v>
      </c>
      <c r="E10">
        <v>0.95454545454545503</v>
      </c>
      <c r="F10">
        <v>0.8</v>
      </c>
      <c r="G10">
        <v>1</v>
      </c>
      <c r="H10">
        <v>0.91304347826086996</v>
      </c>
      <c r="I10">
        <v>0.85714285714285698</v>
      </c>
      <c r="J10">
        <v>847</v>
      </c>
    </row>
    <row r="11" spans="1:10" x14ac:dyDescent="0.3">
      <c r="A11">
        <v>0.92727272727272703</v>
      </c>
      <c r="B11">
        <v>6</v>
      </c>
      <c r="C11">
        <v>7</v>
      </c>
      <c r="D11">
        <v>0.94444444444444398</v>
      </c>
      <c r="E11">
        <v>0.86363636363636398</v>
      </c>
      <c r="F11">
        <v>1</v>
      </c>
      <c r="G11">
        <v>0.91891891891891897</v>
      </c>
      <c r="H11">
        <v>0.90476190476190499</v>
      </c>
      <c r="I11">
        <v>0.967741935483871</v>
      </c>
      <c r="J11">
        <v>266</v>
      </c>
    </row>
    <row r="12" spans="1:10" x14ac:dyDescent="0.3">
      <c r="A12">
        <v>0.92727272727272703</v>
      </c>
      <c r="B12">
        <v>4</v>
      </c>
      <c r="C12">
        <v>6</v>
      </c>
      <c r="D12">
        <v>1</v>
      </c>
      <c r="E12">
        <v>0.86363636363636398</v>
      </c>
      <c r="F12">
        <v>0.93333333333333302</v>
      </c>
      <c r="G12">
        <v>0.97297297297297303</v>
      </c>
      <c r="H12">
        <v>0.90476190476190499</v>
      </c>
      <c r="I12">
        <v>0.90322580645161299</v>
      </c>
      <c r="J12">
        <v>181</v>
      </c>
    </row>
    <row r="13" spans="1:10" x14ac:dyDescent="0.3">
      <c r="A13">
        <v>0.92727272727272703</v>
      </c>
      <c r="B13">
        <v>4</v>
      </c>
      <c r="C13">
        <v>6</v>
      </c>
      <c r="D13">
        <v>1</v>
      </c>
      <c r="E13">
        <v>0.86363636363636398</v>
      </c>
      <c r="F13">
        <v>0.93333333333333302</v>
      </c>
      <c r="G13">
        <v>0.97297297297297303</v>
      </c>
      <c r="H13">
        <v>0.90476190476190499</v>
      </c>
      <c r="I13">
        <v>0.90322580645161299</v>
      </c>
      <c r="J13">
        <v>883</v>
      </c>
    </row>
    <row r="14" spans="1:10" x14ac:dyDescent="0.3">
      <c r="A14">
        <v>0.92727272727272703</v>
      </c>
      <c r="B14">
        <v>3</v>
      </c>
      <c r="C14">
        <v>5</v>
      </c>
      <c r="D14">
        <v>1</v>
      </c>
      <c r="E14">
        <v>0.86363636363636398</v>
      </c>
      <c r="F14">
        <v>0.93333333333333302</v>
      </c>
      <c r="G14">
        <v>0.97297297297297303</v>
      </c>
      <c r="H14">
        <v>0.90476190476190499</v>
      </c>
      <c r="I14">
        <v>0.90322580645161299</v>
      </c>
      <c r="J14">
        <v>712</v>
      </c>
    </row>
    <row r="15" spans="1:10" x14ac:dyDescent="0.3">
      <c r="A15">
        <v>0.92727272727272703</v>
      </c>
      <c r="B15">
        <v>5</v>
      </c>
      <c r="C15">
        <v>7</v>
      </c>
      <c r="D15">
        <v>1</v>
      </c>
      <c r="E15">
        <v>0.90909090909090895</v>
      </c>
      <c r="F15">
        <v>0.86666666666666703</v>
      </c>
      <c r="G15">
        <v>0.97297297297297303</v>
      </c>
      <c r="H15">
        <v>0.90909090909090895</v>
      </c>
      <c r="I15">
        <v>0.89655172413793105</v>
      </c>
      <c r="J15">
        <v>102</v>
      </c>
    </row>
    <row r="16" spans="1:10" x14ac:dyDescent="0.3">
      <c r="A16">
        <v>0.90909090909090895</v>
      </c>
      <c r="B16">
        <v>6</v>
      </c>
      <c r="C16">
        <v>7</v>
      </c>
      <c r="D16">
        <v>0.94444444444444398</v>
      </c>
      <c r="E16">
        <v>0.86363636363636398</v>
      </c>
      <c r="F16">
        <v>0.93333333333333302</v>
      </c>
      <c r="G16">
        <v>0.91891891891891897</v>
      </c>
      <c r="H16">
        <v>0.88372093023255804</v>
      </c>
      <c r="I16">
        <v>0.93333333333333302</v>
      </c>
      <c r="J16">
        <v>921</v>
      </c>
    </row>
    <row r="17" spans="1:10" x14ac:dyDescent="0.3">
      <c r="A17">
        <v>0.90909090909090895</v>
      </c>
      <c r="B17">
        <v>4</v>
      </c>
      <c r="C17">
        <v>5</v>
      </c>
      <c r="D17">
        <v>0.94444444444444398</v>
      </c>
      <c r="E17">
        <v>0.95454545454545503</v>
      </c>
      <c r="F17">
        <v>0.8</v>
      </c>
      <c r="G17">
        <v>0.97142857142857097</v>
      </c>
      <c r="H17">
        <v>0.89361702127659604</v>
      </c>
      <c r="I17">
        <v>0.85714285714285698</v>
      </c>
      <c r="J17">
        <v>572</v>
      </c>
    </row>
    <row r="18" spans="1:10" x14ac:dyDescent="0.3">
      <c r="A18">
        <v>0.90909090909090895</v>
      </c>
      <c r="B18">
        <v>4</v>
      </c>
      <c r="C18">
        <v>6</v>
      </c>
      <c r="D18">
        <v>1</v>
      </c>
      <c r="E18">
        <v>0.81818181818181801</v>
      </c>
      <c r="F18">
        <v>0.93333333333333302</v>
      </c>
      <c r="G18">
        <v>1</v>
      </c>
      <c r="H18">
        <v>0.87804878048780499</v>
      </c>
      <c r="I18">
        <v>0.84848484848484895</v>
      </c>
      <c r="J18">
        <v>41</v>
      </c>
    </row>
    <row r="19" spans="1:10" x14ac:dyDescent="0.3">
      <c r="A19">
        <v>0.90909090909090895</v>
      </c>
      <c r="B19">
        <v>5</v>
      </c>
      <c r="C19">
        <v>6</v>
      </c>
      <c r="D19">
        <v>0.88888888888888895</v>
      </c>
      <c r="E19">
        <v>0.90909090909090895</v>
      </c>
      <c r="F19">
        <v>0.93333333333333302</v>
      </c>
      <c r="G19">
        <v>0.88888888888888895</v>
      </c>
      <c r="H19">
        <v>0.90909090909090895</v>
      </c>
      <c r="I19">
        <v>0.93333333333333302</v>
      </c>
      <c r="J19">
        <v>51</v>
      </c>
    </row>
    <row r="20" spans="1:10" x14ac:dyDescent="0.3">
      <c r="A20">
        <v>0.90909090909090895</v>
      </c>
      <c r="B20">
        <v>4</v>
      </c>
      <c r="C20">
        <v>6</v>
      </c>
      <c r="D20">
        <v>0.88888888888888895</v>
      </c>
      <c r="E20">
        <v>0.95454545454545503</v>
      </c>
      <c r="F20">
        <v>0.86666666666666703</v>
      </c>
      <c r="G20">
        <v>0.94117647058823495</v>
      </c>
      <c r="H20">
        <v>0.89361702127659604</v>
      </c>
      <c r="I20">
        <v>0.89655172413793105</v>
      </c>
      <c r="J20">
        <v>377</v>
      </c>
    </row>
    <row r="21" spans="1:10" x14ac:dyDescent="0.3">
      <c r="A21">
        <v>0.90909090909090895</v>
      </c>
      <c r="B21">
        <v>4</v>
      </c>
      <c r="C21">
        <v>5</v>
      </c>
      <c r="D21">
        <v>0.88888888888888895</v>
      </c>
      <c r="E21">
        <v>0.95454545454545503</v>
      </c>
      <c r="F21">
        <v>0.86666666666666703</v>
      </c>
      <c r="G21">
        <v>0.94117647058823495</v>
      </c>
      <c r="H21">
        <v>0.89361702127659604</v>
      </c>
      <c r="I21">
        <v>0.89655172413793105</v>
      </c>
      <c r="J21">
        <v>212</v>
      </c>
    </row>
    <row r="22" spans="1:10" x14ac:dyDescent="0.3">
      <c r="A22">
        <v>0.90909090909090895</v>
      </c>
      <c r="B22">
        <v>3</v>
      </c>
      <c r="C22">
        <v>6</v>
      </c>
      <c r="D22">
        <v>1</v>
      </c>
      <c r="E22">
        <v>0.81818181818181801</v>
      </c>
      <c r="F22">
        <v>0.93333333333333302</v>
      </c>
      <c r="G22">
        <v>0.9</v>
      </c>
      <c r="H22">
        <v>0.9</v>
      </c>
      <c r="I22">
        <v>0.93333333333333302</v>
      </c>
      <c r="J22">
        <v>660</v>
      </c>
    </row>
    <row r="23" spans="1:10" x14ac:dyDescent="0.3">
      <c r="A23">
        <v>0.90909090909090895</v>
      </c>
      <c r="B23">
        <v>5</v>
      </c>
      <c r="C23">
        <v>7</v>
      </c>
      <c r="D23">
        <v>1</v>
      </c>
      <c r="E23">
        <v>0.86363636363636398</v>
      </c>
      <c r="F23">
        <v>0.86666666666666703</v>
      </c>
      <c r="G23">
        <v>0.87804878048780499</v>
      </c>
      <c r="H23">
        <v>0.92682926829268297</v>
      </c>
      <c r="I23">
        <v>0.92857142857142905</v>
      </c>
      <c r="J23">
        <v>560</v>
      </c>
    </row>
    <row r="24" spans="1:10" x14ac:dyDescent="0.3">
      <c r="A24">
        <v>0.90909090909090895</v>
      </c>
      <c r="B24">
        <v>6</v>
      </c>
      <c r="C24">
        <v>8</v>
      </c>
      <c r="D24">
        <v>1</v>
      </c>
      <c r="E24">
        <v>0.77272727272727304</v>
      </c>
      <c r="F24">
        <v>1</v>
      </c>
      <c r="G24">
        <v>0.92307692307692302</v>
      </c>
      <c r="H24">
        <v>0.87179487179487203</v>
      </c>
      <c r="I24">
        <v>0.9375</v>
      </c>
      <c r="J24">
        <v>822</v>
      </c>
    </row>
    <row r="25" spans="1:10" x14ac:dyDescent="0.3">
      <c r="A25">
        <v>0.90909090909090895</v>
      </c>
      <c r="B25">
        <v>6</v>
      </c>
      <c r="C25">
        <v>9</v>
      </c>
      <c r="D25">
        <v>1</v>
      </c>
      <c r="E25">
        <v>0.77272727272727304</v>
      </c>
      <c r="F25">
        <v>1</v>
      </c>
      <c r="G25">
        <v>0.87804878048780499</v>
      </c>
      <c r="H25">
        <v>0.87179487179487203</v>
      </c>
      <c r="I25">
        <v>1</v>
      </c>
      <c r="J25">
        <v>551</v>
      </c>
    </row>
    <row r="26" spans="1:10" x14ac:dyDescent="0.3">
      <c r="A26">
        <v>0.89090909090909098</v>
      </c>
      <c r="B26">
        <v>4</v>
      </c>
      <c r="C26">
        <v>6</v>
      </c>
      <c r="D26">
        <v>0.94444444444444398</v>
      </c>
      <c r="E26">
        <v>0.95454545454545503</v>
      </c>
      <c r="F26">
        <v>0.73333333333333295</v>
      </c>
      <c r="G26">
        <v>0.97142857142857097</v>
      </c>
      <c r="H26">
        <v>0.875</v>
      </c>
      <c r="I26">
        <v>0.81481481481481499</v>
      </c>
      <c r="J26">
        <v>884</v>
      </c>
    </row>
    <row r="27" spans="1:10" x14ac:dyDescent="0.3">
      <c r="A27">
        <v>0.89090909090909098</v>
      </c>
      <c r="B27">
        <v>3</v>
      </c>
      <c r="C27">
        <v>6</v>
      </c>
      <c r="D27">
        <v>0.94444444444444398</v>
      </c>
      <c r="E27">
        <v>0.90909090909090895</v>
      </c>
      <c r="F27">
        <v>0.8</v>
      </c>
      <c r="G27">
        <v>0.91891891891891897</v>
      </c>
      <c r="H27">
        <v>0.88888888888888895</v>
      </c>
      <c r="I27">
        <v>0.85714285714285698</v>
      </c>
      <c r="J27">
        <v>243</v>
      </c>
    </row>
    <row r="28" spans="1:10" x14ac:dyDescent="0.3">
      <c r="A28">
        <v>0.89090909090909098</v>
      </c>
      <c r="B28">
        <v>4</v>
      </c>
      <c r="C28">
        <v>6</v>
      </c>
      <c r="D28">
        <v>0.88888888888888895</v>
      </c>
      <c r="E28">
        <v>0.86363636363636398</v>
      </c>
      <c r="F28">
        <v>0.93333333333333302</v>
      </c>
      <c r="G28">
        <v>0.86486486486486502</v>
      </c>
      <c r="H28">
        <v>0.88372093023255804</v>
      </c>
      <c r="I28">
        <v>0.93333333333333302</v>
      </c>
      <c r="J28">
        <v>756</v>
      </c>
    </row>
    <row r="29" spans="1:10" x14ac:dyDescent="0.3">
      <c r="A29">
        <v>0.89090909090909098</v>
      </c>
      <c r="B29">
        <v>4</v>
      </c>
      <c r="C29">
        <v>7</v>
      </c>
      <c r="D29">
        <v>0.88888888888888895</v>
      </c>
      <c r="E29">
        <v>1</v>
      </c>
      <c r="F29">
        <v>0.73333333333333295</v>
      </c>
      <c r="G29">
        <v>0.91428571428571404</v>
      </c>
      <c r="H29">
        <v>0.89795918367346905</v>
      </c>
      <c r="I29">
        <v>0.84615384615384603</v>
      </c>
      <c r="J29">
        <v>821</v>
      </c>
    </row>
    <row r="30" spans="1:10" x14ac:dyDescent="0.3">
      <c r="A30">
        <v>0.89090909090909098</v>
      </c>
      <c r="B30">
        <v>4</v>
      </c>
      <c r="C30">
        <v>6</v>
      </c>
      <c r="D30">
        <v>0.94444444444444398</v>
      </c>
      <c r="E30">
        <v>0.81818181818181801</v>
      </c>
      <c r="F30">
        <v>0.93333333333333302</v>
      </c>
      <c r="G30">
        <v>0.94444444444444398</v>
      </c>
      <c r="H30">
        <v>0.85714285714285698</v>
      </c>
      <c r="I30">
        <v>0.875</v>
      </c>
      <c r="J30">
        <v>208</v>
      </c>
    </row>
    <row r="31" spans="1:10" x14ac:dyDescent="0.3">
      <c r="A31">
        <v>0.89090909090909098</v>
      </c>
      <c r="B31">
        <v>3</v>
      </c>
      <c r="C31">
        <v>5</v>
      </c>
      <c r="D31">
        <v>1</v>
      </c>
      <c r="E31">
        <v>0.81818181818181801</v>
      </c>
      <c r="F31">
        <v>0.86666666666666703</v>
      </c>
      <c r="G31">
        <v>0.9</v>
      </c>
      <c r="H31">
        <v>0.9</v>
      </c>
      <c r="I31">
        <v>0.86666666666666703</v>
      </c>
      <c r="J31">
        <v>382</v>
      </c>
    </row>
    <row r="32" spans="1:10" x14ac:dyDescent="0.3">
      <c r="A32">
        <v>0.89090909090909098</v>
      </c>
      <c r="B32">
        <v>3</v>
      </c>
      <c r="C32">
        <v>5</v>
      </c>
      <c r="D32">
        <v>1</v>
      </c>
      <c r="E32">
        <v>0.86363636363636398</v>
      </c>
      <c r="F32">
        <v>0.8</v>
      </c>
      <c r="G32">
        <v>0.97297297297297303</v>
      </c>
      <c r="H32">
        <v>0.86363636363636398</v>
      </c>
      <c r="I32">
        <v>0.82758620689655205</v>
      </c>
      <c r="J32">
        <v>902</v>
      </c>
    </row>
    <row r="33" spans="1:10" x14ac:dyDescent="0.3">
      <c r="A33">
        <v>0.87272727272727302</v>
      </c>
      <c r="B33">
        <v>3</v>
      </c>
      <c r="C33">
        <v>6</v>
      </c>
      <c r="D33">
        <v>0.88888888888888895</v>
      </c>
      <c r="E33">
        <v>0.81818181818181801</v>
      </c>
      <c r="F33">
        <v>0.93333333333333302</v>
      </c>
      <c r="G33">
        <v>0.88888888888888895</v>
      </c>
      <c r="H33">
        <v>0.85714285714285698</v>
      </c>
      <c r="I33">
        <v>0.875</v>
      </c>
      <c r="J33">
        <v>955</v>
      </c>
    </row>
    <row r="34" spans="1:10" x14ac:dyDescent="0.3">
      <c r="A34">
        <v>0.87272727272727302</v>
      </c>
      <c r="B34">
        <v>5</v>
      </c>
      <c r="C34">
        <v>8</v>
      </c>
      <c r="D34">
        <v>1</v>
      </c>
      <c r="E34">
        <v>0.81818181818181801</v>
      </c>
      <c r="F34">
        <v>0.8</v>
      </c>
      <c r="G34">
        <v>0.94736842105263197</v>
      </c>
      <c r="H34">
        <v>0.837209302325581</v>
      </c>
      <c r="I34">
        <v>0.82758620689655205</v>
      </c>
      <c r="J34">
        <v>462</v>
      </c>
    </row>
    <row r="35" spans="1:10" x14ac:dyDescent="0.3">
      <c r="A35">
        <v>0.87272727272727302</v>
      </c>
      <c r="B35">
        <v>3</v>
      </c>
      <c r="C35">
        <v>5</v>
      </c>
      <c r="D35">
        <v>1</v>
      </c>
      <c r="E35">
        <v>0.77272727272727304</v>
      </c>
      <c r="F35">
        <v>0.86666666666666703</v>
      </c>
      <c r="G35">
        <v>0.94736842105263197</v>
      </c>
      <c r="H35">
        <v>0.85</v>
      </c>
      <c r="I35">
        <v>0.8125</v>
      </c>
      <c r="J35">
        <v>332</v>
      </c>
    </row>
    <row r="36" spans="1:10" x14ac:dyDescent="0.3">
      <c r="A36">
        <v>0.87272727272727302</v>
      </c>
      <c r="B36">
        <v>4</v>
      </c>
      <c r="C36">
        <v>6</v>
      </c>
      <c r="D36">
        <v>1</v>
      </c>
      <c r="E36">
        <v>0.77272727272727304</v>
      </c>
      <c r="F36">
        <v>0.86666666666666703</v>
      </c>
      <c r="G36">
        <v>0.94736842105263197</v>
      </c>
      <c r="H36">
        <v>0.85</v>
      </c>
      <c r="I36">
        <v>0.8125</v>
      </c>
      <c r="J36">
        <v>348</v>
      </c>
    </row>
    <row r="37" spans="1:10" x14ac:dyDescent="0.3">
      <c r="A37">
        <v>0.87272727272727302</v>
      </c>
      <c r="B37">
        <v>3</v>
      </c>
      <c r="C37">
        <v>5</v>
      </c>
      <c r="D37">
        <v>1</v>
      </c>
      <c r="E37">
        <v>0.81818181818181801</v>
      </c>
      <c r="F37">
        <v>0.8</v>
      </c>
      <c r="G37">
        <v>0.92307692307692302</v>
      </c>
      <c r="H37">
        <v>0.85714285714285698</v>
      </c>
      <c r="I37">
        <v>0.82758620689655205</v>
      </c>
      <c r="J37">
        <v>224</v>
      </c>
    </row>
    <row r="38" spans="1:10" x14ac:dyDescent="0.3">
      <c r="A38">
        <v>0.87272727272727302</v>
      </c>
      <c r="B38">
        <v>4</v>
      </c>
      <c r="C38">
        <v>7</v>
      </c>
      <c r="D38">
        <v>1</v>
      </c>
      <c r="E38">
        <v>0.86363636363636398</v>
      </c>
      <c r="F38">
        <v>0.73333333333333295</v>
      </c>
      <c r="G38">
        <v>0.97297297297297303</v>
      </c>
      <c r="H38">
        <v>0.844444444444444</v>
      </c>
      <c r="I38">
        <v>0.78571428571428603</v>
      </c>
      <c r="J38">
        <v>728</v>
      </c>
    </row>
    <row r="39" spans="1:10" x14ac:dyDescent="0.3">
      <c r="A39">
        <v>0.87272727272727302</v>
      </c>
      <c r="B39">
        <v>3</v>
      </c>
      <c r="C39">
        <v>6</v>
      </c>
      <c r="D39">
        <v>0.94444444444444398</v>
      </c>
      <c r="E39">
        <v>0.90909090909090895</v>
      </c>
      <c r="F39">
        <v>0.73333333333333295</v>
      </c>
      <c r="G39">
        <v>0.91891891891891897</v>
      </c>
      <c r="H39">
        <v>0.86956521739130399</v>
      </c>
      <c r="I39">
        <v>0.81481481481481499</v>
      </c>
      <c r="J39">
        <v>518</v>
      </c>
    </row>
    <row r="40" spans="1:10" x14ac:dyDescent="0.3">
      <c r="A40">
        <v>0.87272727272727302</v>
      </c>
      <c r="B40">
        <v>4</v>
      </c>
      <c r="C40">
        <v>6</v>
      </c>
      <c r="D40">
        <v>1</v>
      </c>
      <c r="E40">
        <v>0.72727272727272696</v>
      </c>
      <c r="F40">
        <v>0.93333333333333302</v>
      </c>
      <c r="G40">
        <v>0.837209302325581</v>
      </c>
      <c r="H40">
        <v>0.84210526315789502</v>
      </c>
      <c r="I40">
        <v>0.96551724137931005</v>
      </c>
      <c r="J40">
        <v>931</v>
      </c>
    </row>
    <row r="41" spans="1:10" x14ac:dyDescent="0.3">
      <c r="A41">
        <v>0.87272727272727302</v>
      </c>
      <c r="B41">
        <v>4</v>
      </c>
      <c r="C41">
        <v>6</v>
      </c>
      <c r="D41">
        <v>1</v>
      </c>
      <c r="E41">
        <v>0.72727272727272696</v>
      </c>
      <c r="F41">
        <v>0.93333333333333302</v>
      </c>
      <c r="G41">
        <v>0.85714285714285698</v>
      </c>
      <c r="H41">
        <v>0.82051282051282004</v>
      </c>
      <c r="I41">
        <v>0.96551724137931005</v>
      </c>
      <c r="J41">
        <v>342</v>
      </c>
    </row>
    <row r="42" spans="1:10" x14ac:dyDescent="0.3">
      <c r="A42">
        <v>0.87272727272727302</v>
      </c>
      <c r="B42">
        <v>3</v>
      </c>
      <c r="C42">
        <v>6</v>
      </c>
      <c r="D42">
        <v>1</v>
      </c>
      <c r="E42">
        <v>0.68181818181818199</v>
      </c>
      <c r="F42">
        <v>1</v>
      </c>
      <c r="G42">
        <v>0.9</v>
      </c>
      <c r="H42">
        <v>0.81081081081081097</v>
      </c>
      <c r="I42">
        <v>0.90909090909090895</v>
      </c>
      <c r="J42">
        <v>835</v>
      </c>
    </row>
    <row r="43" spans="1:10" x14ac:dyDescent="0.3">
      <c r="A43">
        <v>0.87272727272727302</v>
      </c>
      <c r="B43">
        <v>4</v>
      </c>
      <c r="C43">
        <v>7</v>
      </c>
      <c r="D43">
        <v>0.94444444444444398</v>
      </c>
      <c r="E43">
        <v>0.81818181818181801</v>
      </c>
      <c r="F43">
        <v>0.86666666666666703</v>
      </c>
      <c r="G43">
        <v>0.85</v>
      </c>
      <c r="H43">
        <v>0.85714285714285698</v>
      </c>
      <c r="I43">
        <v>0.92857142857142905</v>
      </c>
      <c r="J43">
        <v>193</v>
      </c>
    </row>
    <row r="44" spans="1:10" x14ac:dyDescent="0.3">
      <c r="A44">
        <v>0.85454545454545405</v>
      </c>
      <c r="B44">
        <v>3</v>
      </c>
      <c r="C44">
        <v>6</v>
      </c>
      <c r="D44">
        <v>1</v>
      </c>
      <c r="E44">
        <v>0.81818181818181801</v>
      </c>
      <c r="F44">
        <v>0.73333333333333295</v>
      </c>
      <c r="G44">
        <v>0.9</v>
      </c>
      <c r="H44">
        <v>0.85714285714285698</v>
      </c>
      <c r="I44">
        <v>0.78571428571428603</v>
      </c>
      <c r="J44">
        <v>379</v>
      </c>
    </row>
    <row r="45" spans="1:10" x14ac:dyDescent="0.3">
      <c r="A45">
        <v>0.85454545454545405</v>
      </c>
      <c r="B45">
        <v>4</v>
      </c>
      <c r="C45">
        <v>6</v>
      </c>
      <c r="D45">
        <v>0.94444444444444398</v>
      </c>
      <c r="E45">
        <v>0.81818181818181801</v>
      </c>
      <c r="F45">
        <v>0.8</v>
      </c>
      <c r="G45">
        <v>0.91891891891891897</v>
      </c>
      <c r="H45">
        <v>0.81818181818181801</v>
      </c>
      <c r="I45">
        <v>0.82758620689655205</v>
      </c>
      <c r="J45">
        <v>438</v>
      </c>
    </row>
    <row r="46" spans="1:10" x14ac:dyDescent="0.3">
      <c r="A46">
        <v>0.83636363636363598</v>
      </c>
      <c r="B46">
        <v>4</v>
      </c>
      <c r="C46">
        <v>7</v>
      </c>
      <c r="D46">
        <v>1</v>
      </c>
      <c r="E46">
        <v>0.77272727272727304</v>
      </c>
      <c r="F46">
        <v>0.73333333333333295</v>
      </c>
      <c r="G46">
        <v>0.87804878048780499</v>
      </c>
      <c r="H46">
        <v>0.82926829268292701</v>
      </c>
      <c r="I46">
        <v>0.78571428571428603</v>
      </c>
      <c r="J46">
        <v>308</v>
      </c>
    </row>
    <row r="47" spans="1:10" x14ac:dyDescent="0.3">
      <c r="A47">
        <v>0.83636363636363598</v>
      </c>
      <c r="B47">
        <v>5</v>
      </c>
      <c r="C47">
        <v>7</v>
      </c>
      <c r="D47">
        <v>1</v>
      </c>
      <c r="E47">
        <v>0.68181818181818199</v>
      </c>
      <c r="F47">
        <v>0.86666666666666703</v>
      </c>
      <c r="G47">
        <v>0.85714285714285698</v>
      </c>
      <c r="H47">
        <v>0.76923076923076905</v>
      </c>
      <c r="I47">
        <v>0.89655172413793105</v>
      </c>
      <c r="J47">
        <v>34</v>
      </c>
    </row>
    <row r="48" spans="1:10" x14ac:dyDescent="0.3">
      <c r="A48">
        <v>0.83636363636363598</v>
      </c>
      <c r="B48">
        <v>4</v>
      </c>
      <c r="C48">
        <v>8</v>
      </c>
      <c r="D48">
        <v>1</v>
      </c>
      <c r="E48">
        <v>0.59090909090909105</v>
      </c>
      <c r="F48">
        <v>1</v>
      </c>
      <c r="G48">
        <v>0.85714285714285698</v>
      </c>
      <c r="H48">
        <v>0.74285714285714299</v>
      </c>
      <c r="I48">
        <v>0.90909090909090895</v>
      </c>
      <c r="J48">
        <v>304</v>
      </c>
    </row>
    <row r="49" spans="1:10" x14ac:dyDescent="0.3">
      <c r="A49">
        <v>0.81818181818181801</v>
      </c>
      <c r="B49">
        <v>5</v>
      </c>
      <c r="C49">
        <v>8</v>
      </c>
      <c r="D49">
        <v>0.94444444444444398</v>
      </c>
      <c r="E49">
        <v>0.68181818181818199</v>
      </c>
      <c r="F49">
        <v>0.86666666666666703</v>
      </c>
      <c r="G49">
        <v>0.79069767441860495</v>
      </c>
      <c r="H49">
        <v>0.76923076923076905</v>
      </c>
      <c r="I49">
        <v>0.92857142857142905</v>
      </c>
      <c r="J49">
        <v>442</v>
      </c>
    </row>
    <row r="50" spans="1:10" x14ac:dyDescent="0.3">
      <c r="A50">
        <v>0.81818181818181801</v>
      </c>
      <c r="B50">
        <v>4</v>
      </c>
      <c r="C50">
        <v>7</v>
      </c>
      <c r="D50">
        <v>0.94444444444444398</v>
      </c>
      <c r="E50">
        <v>0.72727272727272696</v>
      </c>
      <c r="F50">
        <v>0.8</v>
      </c>
      <c r="G50">
        <v>0.82926829268292701</v>
      </c>
      <c r="H50">
        <v>0.76190476190476197</v>
      </c>
      <c r="I50">
        <v>0.88888888888888895</v>
      </c>
      <c r="J50">
        <v>45</v>
      </c>
    </row>
    <row r="51" spans="1:10" x14ac:dyDescent="0.3">
      <c r="A51">
        <v>0.81818181818181801</v>
      </c>
      <c r="B51">
        <v>3</v>
      </c>
      <c r="C51">
        <v>7</v>
      </c>
      <c r="D51">
        <v>1</v>
      </c>
      <c r="E51">
        <v>0.77272727272727304</v>
      </c>
      <c r="F51">
        <v>0.66666666666666696</v>
      </c>
      <c r="G51">
        <v>0.9</v>
      </c>
      <c r="H51">
        <v>0.79069767441860495</v>
      </c>
      <c r="I51">
        <v>0.74074074074074103</v>
      </c>
      <c r="J51">
        <v>590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25" workbookViewId="0">
      <selection activeCell="K51" sqref="K51"/>
    </sheetView>
  </sheetViews>
  <sheetFormatPr defaultColWidth="11.5546875" defaultRowHeight="14.4" x14ac:dyDescent="0.3"/>
  <cols>
    <col min="2" max="2" width="19.33203125" customWidth="1"/>
    <col min="13" max="13" width="12.5546875" bestFit="1" customWidth="1"/>
    <col min="14" max="14" width="25.6640625" bestFit="1" customWidth="1"/>
    <col min="15" max="15" width="15.6640625" bestFit="1" customWidth="1"/>
    <col min="16" max="16" width="14.77734375" bestFit="1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1</v>
      </c>
      <c r="B2">
        <v>0.5</v>
      </c>
      <c r="C2">
        <v>4</v>
      </c>
      <c r="D2">
        <v>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884</v>
      </c>
    </row>
    <row r="3" spans="1:11" x14ac:dyDescent="0.3">
      <c r="A3">
        <v>0.98181818181818203</v>
      </c>
      <c r="B3">
        <v>0.25</v>
      </c>
      <c r="C3">
        <v>4</v>
      </c>
      <c r="D3">
        <v>7</v>
      </c>
      <c r="E3">
        <v>1</v>
      </c>
      <c r="F3">
        <v>1</v>
      </c>
      <c r="G3">
        <v>0.93333333333333302</v>
      </c>
      <c r="H3">
        <v>1</v>
      </c>
      <c r="I3">
        <v>0.97777777777777797</v>
      </c>
      <c r="J3">
        <v>0.96551724137931005</v>
      </c>
      <c r="K3">
        <v>847</v>
      </c>
    </row>
    <row r="4" spans="1:11" x14ac:dyDescent="0.3">
      <c r="A4">
        <v>0.98181818181818203</v>
      </c>
      <c r="B4">
        <v>0.25</v>
      </c>
      <c r="C4">
        <v>4</v>
      </c>
      <c r="D4">
        <v>6</v>
      </c>
      <c r="E4">
        <v>1</v>
      </c>
      <c r="F4">
        <v>1</v>
      </c>
      <c r="G4">
        <v>0.93333333333333302</v>
      </c>
      <c r="H4">
        <v>1</v>
      </c>
      <c r="I4">
        <v>0.97777777777777797</v>
      </c>
      <c r="J4">
        <v>0.96551724137931005</v>
      </c>
      <c r="K4">
        <v>44</v>
      </c>
    </row>
    <row r="5" spans="1:11" x14ac:dyDescent="0.3">
      <c r="A5">
        <v>0.96363636363636396</v>
      </c>
      <c r="B5">
        <v>0.25</v>
      </c>
      <c r="C5">
        <v>4</v>
      </c>
      <c r="D5">
        <v>6</v>
      </c>
      <c r="E5">
        <v>1</v>
      </c>
      <c r="F5">
        <v>0.90909090909090895</v>
      </c>
      <c r="G5">
        <v>1</v>
      </c>
      <c r="H5">
        <v>1</v>
      </c>
      <c r="I5">
        <v>0.952380952380952</v>
      </c>
      <c r="J5">
        <v>0.9375</v>
      </c>
      <c r="K5">
        <v>462</v>
      </c>
    </row>
    <row r="6" spans="1:11" x14ac:dyDescent="0.3">
      <c r="A6">
        <v>0.96363636363636396</v>
      </c>
      <c r="B6">
        <v>0.25</v>
      </c>
      <c r="C6">
        <v>3</v>
      </c>
      <c r="D6">
        <v>5</v>
      </c>
      <c r="E6">
        <v>1</v>
      </c>
      <c r="F6">
        <v>0.90909090909090895</v>
      </c>
      <c r="G6">
        <v>1</v>
      </c>
      <c r="H6">
        <v>0.97297297297297303</v>
      </c>
      <c r="I6">
        <v>0.952380952380952</v>
      </c>
      <c r="J6">
        <v>0.967741935483871</v>
      </c>
      <c r="K6">
        <v>442</v>
      </c>
    </row>
    <row r="7" spans="1:11" x14ac:dyDescent="0.3">
      <c r="A7">
        <v>0.96363636363636396</v>
      </c>
      <c r="B7">
        <v>0.25</v>
      </c>
      <c r="C7">
        <v>3</v>
      </c>
      <c r="D7">
        <v>5</v>
      </c>
      <c r="E7">
        <v>1</v>
      </c>
      <c r="F7">
        <v>0.95454545454545503</v>
      </c>
      <c r="G7">
        <v>0.93333333333333302</v>
      </c>
      <c r="H7">
        <v>0.97297297297297303</v>
      </c>
      <c r="I7">
        <v>0.95454545454545503</v>
      </c>
      <c r="J7">
        <v>0.96551724137931005</v>
      </c>
      <c r="K7">
        <v>41</v>
      </c>
    </row>
    <row r="8" spans="1:11" x14ac:dyDescent="0.3">
      <c r="A8">
        <v>0.96363636363636396</v>
      </c>
      <c r="B8">
        <v>0.5</v>
      </c>
      <c r="C8">
        <v>3</v>
      </c>
      <c r="D8">
        <v>6</v>
      </c>
      <c r="E8">
        <v>0.88888888888888895</v>
      </c>
      <c r="F8">
        <v>1</v>
      </c>
      <c r="G8">
        <v>1</v>
      </c>
      <c r="H8">
        <v>0.94117647058823495</v>
      </c>
      <c r="I8">
        <v>0.95652173913043503</v>
      </c>
      <c r="J8">
        <v>1</v>
      </c>
      <c r="K8">
        <v>212</v>
      </c>
    </row>
    <row r="9" spans="1:11" x14ac:dyDescent="0.3">
      <c r="A9">
        <v>0.96363636363636396</v>
      </c>
      <c r="B9">
        <v>0.25</v>
      </c>
      <c r="C9">
        <v>3</v>
      </c>
      <c r="D9">
        <v>5</v>
      </c>
      <c r="E9">
        <v>1</v>
      </c>
      <c r="F9">
        <v>0.90909090909090895</v>
      </c>
      <c r="G9">
        <v>1</v>
      </c>
      <c r="H9">
        <v>0.97297297297297303</v>
      </c>
      <c r="I9">
        <v>0.952380952380952</v>
      </c>
      <c r="J9">
        <v>0.967741935483871</v>
      </c>
      <c r="K9">
        <v>332</v>
      </c>
    </row>
    <row r="10" spans="1:11" x14ac:dyDescent="0.3">
      <c r="A10">
        <v>0.96363636363636396</v>
      </c>
      <c r="B10">
        <v>0.25</v>
      </c>
      <c r="C10">
        <v>4</v>
      </c>
      <c r="D10">
        <v>6</v>
      </c>
      <c r="E10">
        <v>1</v>
      </c>
      <c r="F10">
        <v>1</v>
      </c>
      <c r="G10">
        <v>0.86666666666666703</v>
      </c>
      <c r="H10">
        <v>1</v>
      </c>
      <c r="I10">
        <v>0.95652173913043503</v>
      </c>
      <c r="J10">
        <v>0.92857142857142905</v>
      </c>
      <c r="K10">
        <v>102</v>
      </c>
    </row>
    <row r="11" spans="1:11" x14ac:dyDescent="0.3">
      <c r="A11">
        <v>0.94545454545454499</v>
      </c>
      <c r="B11">
        <v>0.5</v>
      </c>
      <c r="C11">
        <v>3</v>
      </c>
      <c r="D11">
        <v>5</v>
      </c>
      <c r="E11">
        <v>0.94444444444444398</v>
      </c>
      <c r="F11">
        <v>1</v>
      </c>
      <c r="G11">
        <v>0.86666666666666703</v>
      </c>
      <c r="H11">
        <v>0.97142857142857097</v>
      </c>
      <c r="I11">
        <v>0.93617021276595702</v>
      </c>
      <c r="J11">
        <v>0.92857142857142905</v>
      </c>
      <c r="K11">
        <v>756</v>
      </c>
    </row>
    <row r="12" spans="1:11" x14ac:dyDescent="0.3">
      <c r="A12">
        <v>0.94545454545454499</v>
      </c>
      <c r="B12">
        <v>0.25</v>
      </c>
      <c r="C12">
        <v>3</v>
      </c>
      <c r="D12">
        <v>5</v>
      </c>
      <c r="E12">
        <v>1</v>
      </c>
      <c r="F12">
        <v>0.86363636363636398</v>
      </c>
      <c r="G12">
        <v>1</v>
      </c>
      <c r="H12">
        <v>0.94736842105263197</v>
      </c>
      <c r="I12">
        <v>0.92682926829268297</v>
      </c>
      <c r="J12">
        <v>0.967741935483871</v>
      </c>
      <c r="K12">
        <v>34</v>
      </c>
    </row>
    <row r="13" spans="1:11" x14ac:dyDescent="0.3">
      <c r="A13">
        <v>0.94545454545454499</v>
      </c>
      <c r="B13">
        <v>0.25</v>
      </c>
      <c r="C13">
        <v>3</v>
      </c>
      <c r="D13">
        <v>5</v>
      </c>
      <c r="E13">
        <v>1</v>
      </c>
      <c r="F13">
        <v>0.90909090909090895</v>
      </c>
      <c r="G13">
        <v>0.93333333333333302</v>
      </c>
      <c r="H13">
        <v>0.97297297297297303</v>
      </c>
      <c r="I13">
        <v>0.93023255813953498</v>
      </c>
      <c r="J13">
        <v>0.93333333333333302</v>
      </c>
      <c r="K13">
        <v>719</v>
      </c>
    </row>
    <row r="14" spans="1:11" x14ac:dyDescent="0.3">
      <c r="A14">
        <v>0.94545454545454499</v>
      </c>
      <c r="B14">
        <v>0.25</v>
      </c>
      <c r="C14">
        <v>3</v>
      </c>
      <c r="D14">
        <v>5</v>
      </c>
      <c r="E14">
        <v>1</v>
      </c>
      <c r="F14">
        <v>0.90909090909090895</v>
      </c>
      <c r="G14">
        <v>0.93333333333333302</v>
      </c>
      <c r="H14">
        <v>0.97297297297297303</v>
      </c>
      <c r="I14">
        <v>0.93023255813953498</v>
      </c>
      <c r="J14">
        <v>0.93333333333333302</v>
      </c>
      <c r="K14">
        <v>660</v>
      </c>
    </row>
    <row r="15" spans="1:11" x14ac:dyDescent="0.3">
      <c r="A15">
        <v>0.94545454545454499</v>
      </c>
      <c r="B15">
        <v>0.25</v>
      </c>
      <c r="C15">
        <v>4</v>
      </c>
      <c r="D15">
        <v>7</v>
      </c>
      <c r="E15">
        <v>1</v>
      </c>
      <c r="F15">
        <v>0.90909090909090895</v>
      </c>
      <c r="G15">
        <v>0.93333333333333302</v>
      </c>
      <c r="H15">
        <v>1</v>
      </c>
      <c r="I15">
        <v>0.93023255813953498</v>
      </c>
      <c r="J15">
        <v>0.90322580645161299</v>
      </c>
      <c r="K15">
        <v>975</v>
      </c>
    </row>
    <row r="16" spans="1:11" x14ac:dyDescent="0.3">
      <c r="A16">
        <v>0.94545454545454499</v>
      </c>
      <c r="B16">
        <v>0.25</v>
      </c>
      <c r="C16">
        <v>3</v>
      </c>
      <c r="D16">
        <v>5</v>
      </c>
      <c r="E16">
        <v>0.94444444444444398</v>
      </c>
      <c r="F16">
        <v>0.95454545454545503</v>
      </c>
      <c r="G16">
        <v>0.93333333333333302</v>
      </c>
      <c r="H16">
        <v>0.94444444444444398</v>
      </c>
      <c r="I16">
        <v>0.93333333333333302</v>
      </c>
      <c r="J16">
        <v>0.96551724137931005</v>
      </c>
      <c r="K16">
        <v>438</v>
      </c>
    </row>
    <row r="17" spans="1:11" x14ac:dyDescent="0.3">
      <c r="A17">
        <v>0.94545454545454499</v>
      </c>
      <c r="B17">
        <v>0.25</v>
      </c>
      <c r="C17">
        <v>3</v>
      </c>
      <c r="D17">
        <v>5</v>
      </c>
      <c r="E17">
        <v>1</v>
      </c>
      <c r="F17">
        <v>0.86363636363636398</v>
      </c>
      <c r="G17">
        <v>1</v>
      </c>
      <c r="H17">
        <v>0.94736842105263197</v>
      </c>
      <c r="I17">
        <v>0.92682926829268297</v>
      </c>
      <c r="J17">
        <v>0.967741935483871</v>
      </c>
      <c r="K17">
        <v>342</v>
      </c>
    </row>
    <row r="18" spans="1:11" x14ac:dyDescent="0.3">
      <c r="A18">
        <v>0.94545454545454499</v>
      </c>
      <c r="B18">
        <v>0.5</v>
      </c>
      <c r="C18">
        <v>3</v>
      </c>
      <c r="D18">
        <v>5</v>
      </c>
      <c r="E18">
        <v>0.94444444444444398</v>
      </c>
      <c r="F18">
        <v>1</v>
      </c>
      <c r="G18">
        <v>0.86666666666666703</v>
      </c>
      <c r="H18">
        <v>0.97142857142857097</v>
      </c>
      <c r="I18">
        <v>0.93617021276595702</v>
      </c>
      <c r="J18">
        <v>0.92857142857142905</v>
      </c>
      <c r="K18">
        <v>318</v>
      </c>
    </row>
    <row r="19" spans="1:11" x14ac:dyDescent="0.3">
      <c r="A19">
        <v>0.94545454545454499</v>
      </c>
      <c r="B19">
        <v>1.25</v>
      </c>
      <c r="C19">
        <v>3</v>
      </c>
      <c r="D19">
        <v>6</v>
      </c>
      <c r="E19">
        <v>1</v>
      </c>
      <c r="F19">
        <v>0.86363636363636398</v>
      </c>
      <c r="G19">
        <v>1</v>
      </c>
      <c r="H19">
        <v>0.92307692307692302</v>
      </c>
      <c r="I19">
        <v>0.92682926829268297</v>
      </c>
      <c r="J19">
        <v>1</v>
      </c>
      <c r="K19">
        <v>108</v>
      </c>
    </row>
    <row r="20" spans="1:11" x14ac:dyDescent="0.3">
      <c r="A20">
        <v>0.92727272727272703</v>
      </c>
      <c r="B20">
        <v>2</v>
      </c>
      <c r="C20">
        <v>6</v>
      </c>
      <c r="D20">
        <v>8</v>
      </c>
      <c r="E20">
        <v>1</v>
      </c>
      <c r="F20">
        <v>0.90909090909090895</v>
      </c>
      <c r="G20">
        <v>0.86666666666666703</v>
      </c>
      <c r="H20">
        <v>0.97297297297297303</v>
      </c>
      <c r="I20">
        <v>0.90909090909090895</v>
      </c>
      <c r="J20">
        <v>0.89655172413793105</v>
      </c>
      <c r="K20">
        <v>928</v>
      </c>
    </row>
    <row r="21" spans="1:11" x14ac:dyDescent="0.3">
      <c r="A21">
        <v>0.92727272727272703</v>
      </c>
      <c r="B21">
        <v>0.25</v>
      </c>
      <c r="C21">
        <v>3</v>
      </c>
      <c r="D21">
        <v>5</v>
      </c>
      <c r="E21">
        <v>1</v>
      </c>
      <c r="F21">
        <v>0.86363636363636398</v>
      </c>
      <c r="G21">
        <v>0.93333333333333302</v>
      </c>
      <c r="H21">
        <v>0.92307692307692302</v>
      </c>
      <c r="I21">
        <v>0.92682926829268297</v>
      </c>
      <c r="J21">
        <v>0.93333333333333302</v>
      </c>
      <c r="K21">
        <v>328</v>
      </c>
    </row>
    <row r="22" spans="1:11" x14ac:dyDescent="0.3">
      <c r="A22">
        <v>0.92727272727272703</v>
      </c>
      <c r="B22">
        <v>0.25</v>
      </c>
      <c r="C22">
        <v>3</v>
      </c>
      <c r="D22">
        <v>5</v>
      </c>
      <c r="E22">
        <v>0.88888888888888895</v>
      </c>
      <c r="F22">
        <v>0.90909090909090895</v>
      </c>
      <c r="G22">
        <v>1</v>
      </c>
      <c r="H22">
        <v>0.91428571428571404</v>
      </c>
      <c r="I22">
        <v>0.90909090909090895</v>
      </c>
      <c r="J22">
        <v>0.967741935483871</v>
      </c>
      <c r="K22">
        <v>377</v>
      </c>
    </row>
    <row r="23" spans="1:11" x14ac:dyDescent="0.3">
      <c r="A23">
        <v>0.92727272727272703</v>
      </c>
      <c r="B23">
        <v>0.25</v>
      </c>
      <c r="C23">
        <v>3</v>
      </c>
      <c r="D23">
        <v>6</v>
      </c>
      <c r="E23">
        <v>0.88888888888888895</v>
      </c>
      <c r="F23">
        <v>0.90909090909090895</v>
      </c>
      <c r="G23">
        <v>1</v>
      </c>
      <c r="H23">
        <v>0.88888888888888895</v>
      </c>
      <c r="I23">
        <v>0.90909090909090895</v>
      </c>
      <c r="J23">
        <v>1</v>
      </c>
      <c r="K23">
        <v>821</v>
      </c>
    </row>
    <row r="24" spans="1:11" x14ac:dyDescent="0.3">
      <c r="A24">
        <v>0.92727272727272703</v>
      </c>
      <c r="B24">
        <v>0.25</v>
      </c>
      <c r="C24">
        <v>3</v>
      </c>
      <c r="D24">
        <v>5</v>
      </c>
      <c r="E24">
        <v>1</v>
      </c>
      <c r="F24">
        <v>0.86363636363636398</v>
      </c>
      <c r="G24">
        <v>0.93333333333333302</v>
      </c>
      <c r="H24">
        <v>0.97297297297297303</v>
      </c>
      <c r="I24">
        <v>0.90476190476190499</v>
      </c>
      <c r="J24">
        <v>0.90322580645161299</v>
      </c>
      <c r="K24">
        <v>712</v>
      </c>
    </row>
    <row r="25" spans="1:11" x14ac:dyDescent="0.3">
      <c r="A25">
        <v>0.92727272727272703</v>
      </c>
      <c r="B25">
        <v>0.5</v>
      </c>
      <c r="C25">
        <v>4</v>
      </c>
      <c r="D25">
        <v>7</v>
      </c>
      <c r="E25">
        <v>1</v>
      </c>
      <c r="F25">
        <v>0.81818181818181801</v>
      </c>
      <c r="G25">
        <v>1</v>
      </c>
      <c r="H25">
        <v>0.92307692307692302</v>
      </c>
      <c r="I25">
        <v>0.9</v>
      </c>
      <c r="J25">
        <v>0.967741935483871</v>
      </c>
      <c r="K25">
        <v>560</v>
      </c>
    </row>
    <row r="26" spans="1:11" x14ac:dyDescent="0.3">
      <c r="A26">
        <v>0.92727272727272703</v>
      </c>
      <c r="B26">
        <v>0.25</v>
      </c>
      <c r="C26">
        <v>3</v>
      </c>
      <c r="D26">
        <v>6</v>
      </c>
      <c r="E26">
        <v>1</v>
      </c>
      <c r="F26">
        <v>0.81818181818181801</v>
      </c>
      <c r="G26">
        <v>1</v>
      </c>
      <c r="H26">
        <v>0.94736842105263197</v>
      </c>
      <c r="I26">
        <v>0.9</v>
      </c>
      <c r="J26">
        <v>0.9375</v>
      </c>
      <c r="K26">
        <v>551</v>
      </c>
    </row>
    <row r="27" spans="1:11" x14ac:dyDescent="0.3">
      <c r="A27">
        <v>0.92727272727272703</v>
      </c>
      <c r="B27">
        <v>0.25</v>
      </c>
      <c r="C27">
        <v>3</v>
      </c>
      <c r="D27">
        <v>5</v>
      </c>
      <c r="E27">
        <v>1</v>
      </c>
      <c r="F27">
        <v>0.81818181818181801</v>
      </c>
      <c r="G27">
        <v>1</v>
      </c>
      <c r="H27">
        <v>0.94736842105263197</v>
      </c>
      <c r="I27">
        <v>0.9</v>
      </c>
      <c r="J27">
        <v>0.9375</v>
      </c>
      <c r="K27">
        <v>835</v>
      </c>
    </row>
    <row r="28" spans="1:11" x14ac:dyDescent="0.3">
      <c r="A28">
        <v>0.92727272727272703</v>
      </c>
      <c r="B28">
        <v>1.5</v>
      </c>
      <c r="C28">
        <v>3</v>
      </c>
      <c r="D28">
        <v>5</v>
      </c>
      <c r="E28">
        <v>1</v>
      </c>
      <c r="F28">
        <v>0.86363636363636398</v>
      </c>
      <c r="G28">
        <v>0.93333333333333302</v>
      </c>
      <c r="H28">
        <v>0.92307692307692302</v>
      </c>
      <c r="I28">
        <v>0.90476190476190499</v>
      </c>
      <c r="J28">
        <v>0.96551724137931005</v>
      </c>
      <c r="K28">
        <v>202</v>
      </c>
    </row>
    <row r="29" spans="1:11" x14ac:dyDescent="0.3">
      <c r="A29">
        <v>0.92727272727272703</v>
      </c>
      <c r="B29">
        <v>2</v>
      </c>
      <c r="C29">
        <v>3</v>
      </c>
      <c r="D29">
        <v>5</v>
      </c>
      <c r="E29">
        <v>1</v>
      </c>
      <c r="F29">
        <v>0.81818181818181801</v>
      </c>
      <c r="G29">
        <v>1</v>
      </c>
      <c r="H29">
        <v>1</v>
      </c>
      <c r="I29">
        <v>0.9</v>
      </c>
      <c r="J29">
        <v>0.88235294117647101</v>
      </c>
      <c r="K29">
        <v>902</v>
      </c>
    </row>
    <row r="30" spans="1:11" x14ac:dyDescent="0.3">
      <c r="A30">
        <v>0.90909090909090895</v>
      </c>
      <c r="B30">
        <v>0.25</v>
      </c>
      <c r="C30">
        <v>3</v>
      </c>
      <c r="D30">
        <v>5</v>
      </c>
      <c r="E30">
        <v>0.88888888888888895</v>
      </c>
      <c r="F30">
        <v>0.95454545454545503</v>
      </c>
      <c r="G30">
        <v>0.86666666666666703</v>
      </c>
      <c r="H30">
        <v>0.91428571428571404</v>
      </c>
      <c r="I30">
        <v>0.89361702127659604</v>
      </c>
      <c r="J30">
        <v>0.92857142857142905</v>
      </c>
      <c r="K30">
        <v>955</v>
      </c>
    </row>
    <row r="31" spans="1:11" x14ac:dyDescent="0.3">
      <c r="A31">
        <v>0.90909090909090895</v>
      </c>
      <c r="B31">
        <v>0.25</v>
      </c>
      <c r="C31">
        <v>3</v>
      </c>
      <c r="D31">
        <v>5</v>
      </c>
      <c r="E31">
        <v>0.94444444444444398</v>
      </c>
      <c r="F31">
        <v>0.86363636363636398</v>
      </c>
      <c r="G31">
        <v>0.93333333333333302</v>
      </c>
      <c r="H31">
        <v>0.89473684210526305</v>
      </c>
      <c r="I31">
        <v>0.88372093023255804</v>
      </c>
      <c r="J31">
        <v>0.96551724137931005</v>
      </c>
      <c r="K31">
        <v>921</v>
      </c>
    </row>
    <row r="32" spans="1:11" x14ac:dyDescent="0.3">
      <c r="A32">
        <v>0.90909090909090895</v>
      </c>
      <c r="B32">
        <v>1.5</v>
      </c>
      <c r="C32">
        <v>3</v>
      </c>
      <c r="D32">
        <v>5</v>
      </c>
      <c r="E32">
        <v>0.94444444444444398</v>
      </c>
      <c r="F32">
        <v>0.95454545454545503</v>
      </c>
      <c r="G32">
        <v>0.8</v>
      </c>
      <c r="H32">
        <v>0.97142857142857097</v>
      </c>
      <c r="I32">
        <v>0.89361702127659604</v>
      </c>
      <c r="J32">
        <v>0.85714285714285698</v>
      </c>
      <c r="K32">
        <v>572</v>
      </c>
    </row>
    <row r="33" spans="1:11" x14ac:dyDescent="0.3">
      <c r="A33">
        <v>0.90909090909090895</v>
      </c>
      <c r="B33">
        <v>0.5</v>
      </c>
      <c r="C33">
        <v>3</v>
      </c>
      <c r="D33">
        <v>6</v>
      </c>
      <c r="E33">
        <v>0.88888888888888895</v>
      </c>
      <c r="F33">
        <v>0.86363636363636398</v>
      </c>
      <c r="G33">
        <v>1</v>
      </c>
      <c r="H33">
        <v>0.88888888888888895</v>
      </c>
      <c r="I33">
        <v>0.88372093023255804</v>
      </c>
      <c r="J33">
        <v>0.967741935483871</v>
      </c>
      <c r="K33">
        <v>51</v>
      </c>
    </row>
    <row r="34" spans="1:11" x14ac:dyDescent="0.3">
      <c r="A34">
        <v>0.90909090909090895</v>
      </c>
      <c r="B34">
        <v>2</v>
      </c>
      <c r="C34">
        <v>4</v>
      </c>
      <c r="D34">
        <v>7</v>
      </c>
      <c r="E34">
        <v>1</v>
      </c>
      <c r="F34">
        <v>0.86363636363636398</v>
      </c>
      <c r="G34">
        <v>0.86666666666666703</v>
      </c>
      <c r="H34">
        <v>0.97297297297297303</v>
      </c>
      <c r="I34">
        <v>0.88372093023255804</v>
      </c>
      <c r="J34">
        <v>0.86666666666666703</v>
      </c>
      <c r="K34">
        <v>728</v>
      </c>
    </row>
    <row r="35" spans="1:11" x14ac:dyDescent="0.3">
      <c r="A35">
        <v>0.90909090909090895</v>
      </c>
      <c r="B35">
        <v>4</v>
      </c>
      <c r="C35">
        <v>3</v>
      </c>
      <c r="D35">
        <v>6</v>
      </c>
      <c r="E35">
        <v>0.94444444444444398</v>
      </c>
      <c r="F35">
        <v>0.86363636363636398</v>
      </c>
      <c r="G35">
        <v>0.93333333333333302</v>
      </c>
      <c r="H35">
        <v>0.97142857142857097</v>
      </c>
      <c r="I35">
        <v>0.88372093023255804</v>
      </c>
      <c r="J35">
        <v>0.875</v>
      </c>
      <c r="K35">
        <v>304</v>
      </c>
    </row>
    <row r="36" spans="1:11" x14ac:dyDescent="0.3">
      <c r="A36">
        <v>0.90909090909090895</v>
      </c>
      <c r="B36">
        <v>0.75</v>
      </c>
      <c r="C36">
        <v>3</v>
      </c>
      <c r="D36">
        <v>6</v>
      </c>
      <c r="E36">
        <v>1</v>
      </c>
      <c r="F36">
        <v>0.81818181818181801</v>
      </c>
      <c r="G36">
        <v>0.93333333333333302</v>
      </c>
      <c r="H36">
        <v>0.87804878048780499</v>
      </c>
      <c r="I36">
        <v>0.9</v>
      </c>
      <c r="J36">
        <v>0.96551724137931005</v>
      </c>
      <c r="K36">
        <v>193</v>
      </c>
    </row>
    <row r="37" spans="1:11" x14ac:dyDescent="0.3">
      <c r="A37">
        <v>0.89090909090909098</v>
      </c>
      <c r="B37">
        <v>0.5</v>
      </c>
      <c r="C37">
        <v>3</v>
      </c>
      <c r="D37">
        <v>6</v>
      </c>
      <c r="E37">
        <v>0.94444444444444398</v>
      </c>
      <c r="F37">
        <v>0.95454545454545503</v>
      </c>
      <c r="G37">
        <v>0.73333333333333295</v>
      </c>
      <c r="H37">
        <v>0.91891891891891897</v>
      </c>
      <c r="I37">
        <v>0.89361702127659604</v>
      </c>
      <c r="J37">
        <v>0.84615384615384603</v>
      </c>
      <c r="K37">
        <v>243</v>
      </c>
    </row>
    <row r="38" spans="1:11" x14ac:dyDescent="0.3">
      <c r="A38">
        <v>0.89090909090909098</v>
      </c>
      <c r="B38">
        <v>0.25</v>
      </c>
      <c r="C38">
        <v>3</v>
      </c>
      <c r="D38">
        <v>6</v>
      </c>
      <c r="E38">
        <v>0.94444444444444398</v>
      </c>
      <c r="F38">
        <v>0.86363636363636398</v>
      </c>
      <c r="G38">
        <v>0.86666666666666703</v>
      </c>
      <c r="H38">
        <v>0.89473684210526305</v>
      </c>
      <c r="I38">
        <v>0.86363636363636398</v>
      </c>
      <c r="J38">
        <v>0.92857142857142905</v>
      </c>
      <c r="K38">
        <v>266</v>
      </c>
    </row>
    <row r="39" spans="1:11" x14ac:dyDescent="0.3">
      <c r="A39">
        <v>0.89090909090909098</v>
      </c>
      <c r="B39">
        <v>0.25</v>
      </c>
      <c r="C39">
        <v>3</v>
      </c>
      <c r="D39">
        <v>5</v>
      </c>
      <c r="E39">
        <v>1</v>
      </c>
      <c r="F39">
        <v>0.86363636363636398</v>
      </c>
      <c r="G39">
        <v>0.8</v>
      </c>
      <c r="H39">
        <v>0.94736842105263197</v>
      </c>
      <c r="I39">
        <v>0.88372093023255804</v>
      </c>
      <c r="J39">
        <v>0.82758620689655205</v>
      </c>
      <c r="K39">
        <v>181</v>
      </c>
    </row>
    <row r="40" spans="1:11" x14ac:dyDescent="0.3">
      <c r="A40">
        <v>0.89090909090909098</v>
      </c>
      <c r="B40">
        <v>0.5</v>
      </c>
      <c r="C40">
        <v>4</v>
      </c>
      <c r="D40">
        <v>6</v>
      </c>
      <c r="E40">
        <v>0.94444444444444398</v>
      </c>
      <c r="F40">
        <v>0.77272727272727304</v>
      </c>
      <c r="G40">
        <v>1</v>
      </c>
      <c r="H40">
        <v>0.85</v>
      </c>
      <c r="I40">
        <v>0.85</v>
      </c>
      <c r="J40">
        <v>1</v>
      </c>
      <c r="K40">
        <v>45</v>
      </c>
    </row>
    <row r="41" spans="1:11" x14ac:dyDescent="0.3">
      <c r="A41">
        <v>0.89090909090909098</v>
      </c>
      <c r="B41">
        <v>0.25</v>
      </c>
      <c r="C41">
        <v>5</v>
      </c>
      <c r="D41">
        <v>7</v>
      </c>
      <c r="E41">
        <v>1</v>
      </c>
      <c r="F41">
        <v>0.90909090909090895</v>
      </c>
      <c r="G41">
        <v>0.73333333333333295</v>
      </c>
      <c r="H41">
        <v>0.9</v>
      </c>
      <c r="I41">
        <v>0.952380952380952</v>
      </c>
      <c r="J41">
        <v>0.78571428571428603</v>
      </c>
      <c r="K41">
        <v>379</v>
      </c>
    </row>
    <row r="42" spans="1:11" x14ac:dyDescent="0.3">
      <c r="A42">
        <v>0.89090909090909098</v>
      </c>
      <c r="B42">
        <v>0.25</v>
      </c>
      <c r="C42">
        <v>3</v>
      </c>
      <c r="D42">
        <v>5</v>
      </c>
      <c r="E42">
        <v>1</v>
      </c>
      <c r="F42">
        <v>0.86363636363636398</v>
      </c>
      <c r="G42">
        <v>0.8</v>
      </c>
      <c r="H42">
        <v>0.94736842105263197</v>
      </c>
      <c r="I42">
        <v>0.88372093023255804</v>
      </c>
      <c r="J42">
        <v>0.82758620689655205</v>
      </c>
      <c r="K42">
        <v>224</v>
      </c>
    </row>
    <row r="43" spans="1:11" x14ac:dyDescent="0.3">
      <c r="A43">
        <v>0.89090909090909098</v>
      </c>
      <c r="B43">
        <v>0.5</v>
      </c>
      <c r="C43">
        <v>3</v>
      </c>
      <c r="D43">
        <v>5</v>
      </c>
      <c r="E43">
        <v>1</v>
      </c>
      <c r="F43">
        <v>0.86363636363636398</v>
      </c>
      <c r="G43">
        <v>0.8</v>
      </c>
      <c r="H43">
        <v>0.97297297297297303</v>
      </c>
      <c r="I43">
        <v>0.86363636363636398</v>
      </c>
      <c r="J43">
        <v>0.82758620689655205</v>
      </c>
      <c r="K43">
        <v>822</v>
      </c>
    </row>
    <row r="44" spans="1:11" x14ac:dyDescent="0.3">
      <c r="A44">
        <v>0.89090909090909098</v>
      </c>
      <c r="B44">
        <v>1.25</v>
      </c>
      <c r="C44">
        <v>4</v>
      </c>
      <c r="D44">
        <v>6</v>
      </c>
      <c r="E44">
        <v>0.94444444444444398</v>
      </c>
      <c r="F44">
        <v>0.81818181818181801</v>
      </c>
      <c r="G44">
        <v>0.93333333333333302</v>
      </c>
      <c r="H44">
        <v>0.94444444444444398</v>
      </c>
      <c r="I44">
        <v>0.85714285714285698</v>
      </c>
      <c r="J44">
        <v>0.875</v>
      </c>
      <c r="K44">
        <v>208</v>
      </c>
    </row>
    <row r="45" spans="1:11" x14ac:dyDescent="0.3">
      <c r="A45">
        <v>0.89090909090909098</v>
      </c>
      <c r="B45">
        <v>0.25</v>
      </c>
      <c r="C45">
        <v>3</v>
      </c>
      <c r="D45">
        <v>5</v>
      </c>
      <c r="E45">
        <v>1</v>
      </c>
      <c r="F45">
        <v>0.81818181818181801</v>
      </c>
      <c r="G45">
        <v>0.86666666666666703</v>
      </c>
      <c r="H45">
        <v>0.9</v>
      </c>
      <c r="I45">
        <v>0.9</v>
      </c>
      <c r="J45">
        <v>0.86666666666666703</v>
      </c>
      <c r="K45">
        <v>382</v>
      </c>
    </row>
    <row r="46" spans="1:11" x14ac:dyDescent="0.3">
      <c r="A46">
        <v>0.87272727272727302</v>
      </c>
      <c r="B46">
        <v>3</v>
      </c>
      <c r="C46">
        <v>7</v>
      </c>
      <c r="D46">
        <v>11</v>
      </c>
      <c r="E46">
        <v>1</v>
      </c>
      <c r="F46">
        <v>0.86363636363636398</v>
      </c>
      <c r="G46">
        <v>0.73333333333333295</v>
      </c>
      <c r="H46">
        <v>1</v>
      </c>
      <c r="I46">
        <v>0.844444444444444</v>
      </c>
      <c r="J46">
        <v>0.75862068965517204</v>
      </c>
      <c r="K46">
        <v>883</v>
      </c>
    </row>
    <row r="47" spans="1:11" x14ac:dyDescent="0.3">
      <c r="A47">
        <v>0.87272727272727302</v>
      </c>
      <c r="B47">
        <v>0.25</v>
      </c>
      <c r="C47">
        <v>3</v>
      </c>
      <c r="D47">
        <v>5</v>
      </c>
      <c r="E47">
        <v>1</v>
      </c>
      <c r="F47">
        <v>0.68181818181818199</v>
      </c>
      <c r="G47">
        <v>1</v>
      </c>
      <c r="H47">
        <v>0.87804878048780499</v>
      </c>
      <c r="I47">
        <v>0.81081081081081097</v>
      </c>
      <c r="J47">
        <v>0.9375</v>
      </c>
      <c r="K47">
        <v>931</v>
      </c>
    </row>
    <row r="48" spans="1:11" x14ac:dyDescent="0.3">
      <c r="A48">
        <v>0.85454545454545405</v>
      </c>
      <c r="B48">
        <v>0.75</v>
      </c>
      <c r="C48">
        <v>5</v>
      </c>
      <c r="D48">
        <v>7</v>
      </c>
      <c r="E48">
        <v>1</v>
      </c>
      <c r="F48">
        <v>0.72727272727272696</v>
      </c>
      <c r="G48">
        <v>0.86666666666666703</v>
      </c>
      <c r="H48">
        <v>0.94736842105263197</v>
      </c>
      <c r="I48">
        <v>0.8</v>
      </c>
      <c r="J48">
        <v>0.8125</v>
      </c>
      <c r="K48">
        <v>348</v>
      </c>
    </row>
    <row r="49" spans="1:11" x14ac:dyDescent="0.3">
      <c r="A49">
        <v>0.85454545454545405</v>
      </c>
      <c r="B49">
        <v>1.25</v>
      </c>
      <c r="C49">
        <v>3</v>
      </c>
      <c r="D49">
        <v>6</v>
      </c>
      <c r="E49">
        <v>0.94444444444444398</v>
      </c>
      <c r="F49">
        <v>0.90909090909090895</v>
      </c>
      <c r="G49">
        <v>0.66666666666666696</v>
      </c>
      <c r="H49">
        <v>0.91891891891891897</v>
      </c>
      <c r="I49">
        <v>0.85106382978723405</v>
      </c>
      <c r="J49">
        <v>0.76923076923076905</v>
      </c>
      <c r="K49">
        <v>518</v>
      </c>
    </row>
    <row r="50" spans="1:11" x14ac:dyDescent="0.3">
      <c r="A50">
        <v>0.83636363636363598</v>
      </c>
      <c r="B50">
        <v>0.5</v>
      </c>
      <c r="C50">
        <v>4</v>
      </c>
      <c r="D50">
        <v>7</v>
      </c>
      <c r="E50">
        <v>1</v>
      </c>
      <c r="F50">
        <v>0.77272727272727304</v>
      </c>
      <c r="G50">
        <v>0.73333333333333295</v>
      </c>
      <c r="H50">
        <v>0.87804878048780499</v>
      </c>
      <c r="I50">
        <v>0.82926829268292701</v>
      </c>
      <c r="J50">
        <v>0.78571428571428603</v>
      </c>
      <c r="K50">
        <v>308</v>
      </c>
    </row>
    <row r="51" spans="1:11" x14ac:dyDescent="0.3">
      <c r="A51">
        <v>0.81818181818181801</v>
      </c>
      <c r="B51">
        <v>3.5</v>
      </c>
      <c r="C51">
        <v>3</v>
      </c>
      <c r="D51">
        <v>7</v>
      </c>
      <c r="E51">
        <v>1</v>
      </c>
      <c r="F51">
        <v>0.77272727272727304</v>
      </c>
      <c r="G51">
        <v>0.66666666666666696</v>
      </c>
      <c r="H51">
        <v>0.9</v>
      </c>
      <c r="I51">
        <v>0.79069767441860495</v>
      </c>
      <c r="J51">
        <v>0.74074074074074103</v>
      </c>
      <c r="K51">
        <v>590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0.94545454545454499</v>
      </c>
      <c r="B2">
        <v>0.75</v>
      </c>
      <c r="C2">
        <v>1.5</v>
      </c>
      <c r="D2">
        <v>5</v>
      </c>
      <c r="E2">
        <v>6</v>
      </c>
      <c r="F2">
        <v>1</v>
      </c>
      <c r="G2">
        <v>0.90909090909090895</v>
      </c>
      <c r="H2">
        <v>0.93333333333333302</v>
      </c>
      <c r="I2">
        <v>0.97297297297297303</v>
      </c>
      <c r="J2">
        <v>0.93023255813953498</v>
      </c>
      <c r="K2">
        <v>0.93333333333333302</v>
      </c>
      <c r="L2">
        <v>884</v>
      </c>
    </row>
    <row r="3" spans="1:12" x14ac:dyDescent="0.3">
      <c r="A3">
        <v>0.90909090909090895</v>
      </c>
      <c r="B3">
        <v>2.25</v>
      </c>
      <c r="C3">
        <v>3.75</v>
      </c>
      <c r="D3">
        <v>3</v>
      </c>
      <c r="E3">
        <v>5</v>
      </c>
      <c r="F3">
        <v>1</v>
      </c>
      <c r="G3">
        <v>0.95454545454545503</v>
      </c>
      <c r="H3">
        <v>0.73333333333333295</v>
      </c>
      <c r="I3">
        <v>0.97297297297297303</v>
      </c>
      <c r="J3">
        <v>0.89361702127659604</v>
      </c>
      <c r="K3">
        <v>0.84615384615384603</v>
      </c>
      <c r="L3">
        <v>955</v>
      </c>
    </row>
    <row r="4" spans="1:12" x14ac:dyDescent="0.3">
      <c r="A4">
        <v>0.90909090909090895</v>
      </c>
      <c r="B4">
        <v>0.75</v>
      </c>
      <c r="C4">
        <v>0.75</v>
      </c>
      <c r="D4">
        <v>3</v>
      </c>
      <c r="E4">
        <v>5</v>
      </c>
      <c r="F4">
        <v>0.94444444444444398</v>
      </c>
      <c r="G4">
        <v>0.86363636363636398</v>
      </c>
      <c r="H4">
        <v>0.93333333333333302</v>
      </c>
      <c r="I4">
        <v>0.89473684210526305</v>
      </c>
      <c r="J4">
        <v>0.88372093023255804</v>
      </c>
      <c r="K4">
        <v>0.96551724137931005</v>
      </c>
      <c r="L4">
        <v>921</v>
      </c>
    </row>
    <row r="5" spans="1:12" x14ac:dyDescent="0.3">
      <c r="A5">
        <v>0.92727272727272703</v>
      </c>
      <c r="B5">
        <v>1.25</v>
      </c>
      <c r="C5">
        <v>3.5</v>
      </c>
      <c r="D5">
        <v>3</v>
      </c>
      <c r="E5">
        <v>4</v>
      </c>
      <c r="F5">
        <v>1</v>
      </c>
      <c r="G5">
        <v>0.90909090909090895</v>
      </c>
      <c r="H5">
        <v>0.86666666666666703</v>
      </c>
      <c r="I5">
        <v>0.97297297297297303</v>
      </c>
      <c r="J5">
        <v>0.90909090909090895</v>
      </c>
      <c r="K5">
        <v>0.89655172413793105</v>
      </c>
      <c r="L5">
        <v>572</v>
      </c>
    </row>
    <row r="6" spans="1:12" x14ac:dyDescent="0.3">
      <c r="A6">
        <v>0.94545454545454499</v>
      </c>
      <c r="B6">
        <v>0.25</v>
      </c>
      <c r="C6">
        <v>2</v>
      </c>
      <c r="D6">
        <v>5</v>
      </c>
      <c r="E6">
        <v>6</v>
      </c>
      <c r="F6">
        <v>1</v>
      </c>
      <c r="G6">
        <v>0.95454545454545503</v>
      </c>
      <c r="H6">
        <v>0.86666666666666703</v>
      </c>
      <c r="I6">
        <v>0.94736842105263197</v>
      </c>
      <c r="J6">
        <v>0.97674418604651203</v>
      </c>
      <c r="K6">
        <v>0.89655172413793105</v>
      </c>
      <c r="L6">
        <v>928</v>
      </c>
    </row>
    <row r="7" spans="1:12" x14ac:dyDescent="0.3">
      <c r="A7">
        <v>0.98181818181818203</v>
      </c>
      <c r="B7">
        <v>2.25</v>
      </c>
      <c r="C7">
        <v>4</v>
      </c>
      <c r="D7">
        <v>3</v>
      </c>
      <c r="E7">
        <v>5</v>
      </c>
      <c r="F7">
        <v>0.94444444444444398</v>
      </c>
      <c r="G7">
        <v>1</v>
      </c>
      <c r="H7">
        <v>1</v>
      </c>
      <c r="I7">
        <v>0.97142857142857097</v>
      </c>
      <c r="J7">
        <v>0.97777777777777797</v>
      </c>
      <c r="K7">
        <v>1</v>
      </c>
      <c r="L7">
        <v>243</v>
      </c>
    </row>
    <row r="8" spans="1:12" x14ac:dyDescent="0.3">
      <c r="A8">
        <v>0.92727272727272703</v>
      </c>
      <c r="B8">
        <v>0.75</v>
      </c>
      <c r="C8">
        <v>3</v>
      </c>
      <c r="D8">
        <v>6</v>
      </c>
      <c r="E8">
        <v>7</v>
      </c>
      <c r="F8">
        <v>1</v>
      </c>
      <c r="G8">
        <v>0.81818181818181801</v>
      </c>
      <c r="H8">
        <v>1</v>
      </c>
      <c r="I8">
        <v>0.92307692307692302</v>
      </c>
      <c r="J8">
        <v>0.9</v>
      </c>
      <c r="K8">
        <v>0.967741935483871</v>
      </c>
      <c r="L8">
        <v>756</v>
      </c>
    </row>
    <row r="9" spans="1:12" x14ac:dyDescent="0.3">
      <c r="A9">
        <v>0.90909090909090895</v>
      </c>
      <c r="B9">
        <v>1.25</v>
      </c>
      <c r="C9">
        <v>3.5</v>
      </c>
      <c r="D9">
        <v>5</v>
      </c>
      <c r="E9">
        <v>6</v>
      </c>
      <c r="F9">
        <v>1</v>
      </c>
      <c r="G9">
        <v>0.95454545454545503</v>
      </c>
      <c r="H9">
        <v>0.73333333333333295</v>
      </c>
      <c r="I9">
        <v>0.9</v>
      </c>
      <c r="J9">
        <v>0.95454545454545503</v>
      </c>
      <c r="K9">
        <v>0.84615384615384603</v>
      </c>
      <c r="L9">
        <v>847</v>
      </c>
    </row>
    <row r="10" spans="1:12" x14ac:dyDescent="0.3">
      <c r="A10">
        <v>0.96363636363636396</v>
      </c>
      <c r="B10">
        <v>0.25</v>
      </c>
      <c r="C10">
        <v>3</v>
      </c>
      <c r="D10">
        <v>3</v>
      </c>
      <c r="E10">
        <v>4</v>
      </c>
      <c r="F10">
        <v>1</v>
      </c>
      <c r="G10">
        <v>0.95454545454545503</v>
      </c>
      <c r="H10">
        <v>0.93333333333333302</v>
      </c>
      <c r="I10">
        <v>1</v>
      </c>
      <c r="J10">
        <v>0.95454545454545503</v>
      </c>
      <c r="K10">
        <v>0.93333333333333302</v>
      </c>
      <c r="L10">
        <v>328</v>
      </c>
    </row>
    <row r="11" spans="1:12" x14ac:dyDescent="0.3">
      <c r="A11">
        <v>0.89090909090909098</v>
      </c>
      <c r="B11">
        <v>0.25</v>
      </c>
      <c r="C11">
        <v>0.75</v>
      </c>
      <c r="D11">
        <v>3</v>
      </c>
      <c r="E11">
        <v>6</v>
      </c>
      <c r="F11">
        <v>0.94444444444444398</v>
      </c>
      <c r="G11">
        <v>0.86363636363636398</v>
      </c>
      <c r="H11">
        <v>0.86666666666666703</v>
      </c>
      <c r="I11">
        <v>0.89473684210526305</v>
      </c>
      <c r="J11">
        <v>0.86363636363636398</v>
      </c>
      <c r="K11">
        <v>0.92857142857142905</v>
      </c>
      <c r="L11">
        <v>266</v>
      </c>
    </row>
    <row r="12" spans="1:12" x14ac:dyDescent="0.3">
      <c r="A12">
        <v>0.94545454545454499</v>
      </c>
      <c r="B12">
        <v>0.75</v>
      </c>
      <c r="C12">
        <v>2.25</v>
      </c>
      <c r="D12">
        <v>3</v>
      </c>
      <c r="E12">
        <v>5</v>
      </c>
      <c r="F12">
        <v>1</v>
      </c>
      <c r="G12">
        <v>0.95454545454545503</v>
      </c>
      <c r="H12">
        <v>0.86666666666666703</v>
      </c>
      <c r="I12">
        <v>1</v>
      </c>
      <c r="J12">
        <v>0.93333333333333302</v>
      </c>
      <c r="K12">
        <v>0.89655172413793105</v>
      </c>
      <c r="L12">
        <v>462</v>
      </c>
    </row>
    <row r="13" spans="1:12" x14ac:dyDescent="0.3">
      <c r="A13">
        <v>0.94545454545454499</v>
      </c>
      <c r="B13">
        <v>0.5</v>
      </c>
      <c r="C13">
        <v>2.25</v>
      </c>
      <c r="D13">
        <v>3</v>
      </c>
      <c r="E13">
        <v>4</v>
      </c>
      <c r="F13">
        <v>0.88888888888888895</v>
      </c>
      <c r="G13">
        <v>1</v>
      </c>
      <c r="H13">
        <v>0.93333333333333302</v>
      </c>
      <c r="I13">
        <v>0.94117647058823495</v>
      </c>
      <c r="J13">
        <v>0.93617021276595702</v>
      </c>
      <c r="K13">
        <v>0.96551724137931005</v>
      </c>
      <c r="L13">
        <v>308</v>
      </c>
    </row>
    <row r="14" spans="1:12" x14ac:dyDescent="0.3">
      <c r="A14">
        <v>0.96363636363636396</v>
      </c>
      <c r="B14">
        <v>0.75</v>
      </c>
      <c r="C14">
        <v>2</v>
      </c>
      <c r="D14">
        <v>4</v>
      </c>
      <c r="E14">
        <v>5</v>
      </c>
      <c r="F14">
        <v>1</v>
      </c>
      <c r="G14">
        <v>0.90909090909090895</v>
      </c>
      <c r="H14">
        <v>1</v>
      </c>
      <c r="I14">
        <v>0.97297297297297303</v>
      </c>
      <c r="J14">
        <v>0.952380952380952</v>
      </c>
      <c r="K14">
        <v>0.967741935483871</v>
      </c>
      <c r="L14">
        <v>181</v>
      </c>
    </row>
    <row r="15" spans="1:12" x14ac:dyDescent="0.3">
      <c r="A15">
        <v>0.96363636363636396</v>
      </c>
      <c r="B15">
        <v>0.25</v>
      </c>
      <c r="C15">
        <v>2</v>
      </c>
      <c r="D15">
        <v>3</v>
      </c>
      <c r="E15">
        <v>4</v>
      </c>
      <c r="F15">
        <v>1</v>
      </c>
      <c r="G15">
        <v>0.90909090909090895</v>
      </c>
      <c r="H15">
        <v>1</v>
      </c>
      <c r="I15">
        <v>0.97297297297297303</v>
      </c>
      <c r="J15">
        <v>0.952380952380952</v>
      </c>
      <c r="K15">
        <v>0.967741935483871</v>
      </c>
      <c r="L15">
        <v>442</v>
      </c>
    </row>
    <row r="16" spans="1:12" x14ac:dyDescent="0.3">
      <c r="A16">
        <v>0.92727272727272703</v>
      </c>
      <c r="B16">
        <v>0.25</v>
      </c>
      <c r="C16">
        <v>2</v>
      </c>
      <c r="D16">
        <v>4</v>
      </c>
      <c r="E16">
        <v>5</v>
      </c>
      <c r="F16">
        <v>1</v>
      </c>
      <c r="G16">
        <v>0.86363636363636398</v>
      </c>
      <c r="H16">
        <v>0.93333333333333302</v>
      </c>
      <c r="I16">
        <v>0.97297297297297303</v>
      </c>
      <c r="J16">
        <v>0.90476190476190499</v>
      </c>
      <c r="K16">
        <v>0.90322580645161299</v>
      </c>
      <c r="L16">
        <v>41</v>
      </c>
    </row>
    <row r="17" spans="1:12" x14ac:dyDescent="0.3">
      <c r="A17">
        <v>0.90909090909090895</v>
      </c>
      <c r="B17">
        <v>0.5</v>
      </c>
      <c r="C17">
        <v>0.75</v>
      </c>
      <c r="D17">
        <v>3</v>
      </c>
      <c r="E17">
        <v>6</v>
      </c>
      <c r="F17">
        <v>0.88888888888888895</v>
      </c>
      <c r="G17">
        <v>0.86363636363636398</v>
      </c>
      <c r="H17">
        <v>1</v>
      </c>
      <c r="I17">
        <v>0.88888888888888895</v>
      </c>
      <c r="J17">
        <v>0.88372093023255804</v>
      </c>
      <c r="K17">
        <v>0.967741935483871</v>
      </c>
      <c r="L17">
        <v>51</v>
      </c>
    </row>
    <row r="18" spans="1:12" x14ac:dyDescent="0.3">
      <c r="A18">
        <v>0.94545454545454499</v>
      </c>
      <c r="B18">
        <v>1.5</v>
      </c>
      <c r="C18">
        <v>3.5</v>
      </c>
      <c r="D18">
        <v>3</v>
      </c>
      <c r="E18">
        <v>4</v>
      </c>
      <c r="F18">
        <v>1</v>
      </c>
      <c r="G18">
        <v>0.90909090909090895</v>
      </c>
      <c r="H18">
        <v>0.93333333333333302</v>
      </c>
      <c r="I18">
        <v>0.97297297297297303</v>
      </c>
      <c r="J18">
        <v>0.93023255813953498</v>
      </c>
      <c r="K18">
        <v>0.93333333333333302</v>
      </c>
      <c r="L18">
        <v>34</v>
      </c>
    </row>
    <row r="19" spans="1:12" x14ac:dyDescent="0.3">
      <c r="A19">
        <v>0.94545454545454499</v>
      </c>
      <c r="B19">
        <v>0.25</v>
      </c>
      <c r="C19">
        <v>0.25</v>
      </c>
      <c r="D19">
        <v>3</v>
      </c>
      <c r="E19">
        <v>6</v>
      </c>
      <c r="F19">
        <v>0.88888888888888895</v>
      </c>
      <c r="G19">
        <v>0.95454545454545503</v>
      </c>
      <c r="H19">
        <v>1</v>
      </c>
      <c r="I19">
        <v>0.91428571428571404</v>
      </c>
      <c r="J19">
        <v>0.93333333333333302</v>
      </c>
      <c r="K19">
        <v>1</v>
      </c>
      <c r="L19">
        <v>45</v>
      </c>
    </row>
    <row r="20" spans="1:12" x14ac:dyDescent="0.3">
      <c r="A20">
        <v>0.98181818181818203</v>
      </c>
      <c r="B20">
        <v>1.25</v>
      </c>
      <c r="C20">
        <v>4</v>
      </c>
      <c r="D20">
        <v>4</v>
      </c>
      <c r="E20">
        <v>5</v>
      </c>
      <c r="F20">
        <v>1</v>
      </c>
      <c r="G20">
        <v>1</v>
      </c>
      <c r="H20">
        <v>0.93333333333333302</v>
      </c>
      <c r="I20">
        <v>1</v>
      </c>
      <c r="J20">
        <v>0.97777777777777797</v>
      </c>
      <c r="K20">
        <v>0.96551724137931005</v>
      </c>
      <c r="L20">
        <v>719</v>
      </c>
    </row>
    <row r="21" spans="1:12" x14ac:dyDescent="0.3">
      <c r="A21">
        <v>0.92727272727272703</v>
      </c>
      <c r="B21">
        <v>0.25</v>
      </c>
      <c r="C21">
        <v>0.25</v>
      </c>
      <c r="D21">
        <v>3</v>
      </c>
      <c r="E21">
        <v>5</v>
      </c>
      <c r="F21">
        <v>0.88888888888888895</v>
      </c>
      <c r="G21">
        <v>0.90909090909090895</v>
      </c>
      <c r="H21">
        <v>1</v>
      </c>
      <c r="I21">
        <v>0.91428571428571404</v>
      </c>
      <c r="J21">
        <v>0.90909090909090895</v>
      </c>
      <c r="K21">
        <v>0.967741935483871</v>
      </c>
      <c r="L21">
        <v>377</v>
      </c>
    </row>
    <row r="22" spans="1:12" x14ac:dyDescent="0.3">
      <c r="A22">
        <v>0.90909090909090895</v>
      </c>
      <c r="B22">
        <v>0.75</v>
      </c>
      <c r="C22">
        <v>2</v>
      </c>
      <c r="D22">
        <v>4</v>
      </c>
      <c r="E22">
        <v>5</v>
      </c>
      <c r="F22">
        <v>0.88888888888888895</v>
      </c>
      <c r="G22">
        <v>0.95454545454545503</v>
      </c>
      <c r="H22">
        <v>0.86666666666666703</v>
      </c>
      <c r="I22">
        <v>0.94117647058823495</v>
      </c>
      <c r="J22">
        <v>0.89361702127659604</v>
      </c>
      <c r="K22">
        <v>0.89655172413793105</v>
      </c>
      <c r="L22">
        <v>212</v>
      </c>
    </row>
    <row r="23" spans="1:12" x14ac:dyDescent="0.3">
      <c r="A23">
        <v>0.94545454545454499</v>
      </c>
      <c r="B23">
        <v>0.25</v>
      </c>
      <c r="C23">
        <v>1.5</v>
      </c>
      <c r="D23">
        <v>4</v>
      </c>
      <c r="E23">
        <v>5</v>
      </c>
      <c r="F23">
        <v>0.94444444444444398</v>
      </c>
      <c r="G23">
        <v>0.95454545454545503</v>
      </c>
      <c r="H23">
        <v>0.93333333333333302</v>
      </c>
      <c r="I23">
        <v>0.97142857142857097</v>
      </c>
      <c r="J23">
        <v>0.93333333333333302</v>
      </c>
      <c r="K23">
        <v>0.93333333333333302</v>
      </c>
      <c r="L23">
        <v>883</v>
      </c>
    </row>
    <row r="24" spans="1:12" x14ac:dyDescent="0.3">
      <c r="A24">
        <v>0.90909090909090895</v>
      </c>
      <c r="B24">
        <v>0.25</v>
      </c>
      <c r="C24">
        <v>3</v>
      </c>
      <c r="D24">
        <v>3</v>
      </c>
      <c r="E24">
        <v>4</v>
      </c>
      <c r="F24">
        <v>1</v>
      </c>
      <c r="G24">
        <v>0.95454545454545503</v>
      </c>
      <c r="H24">
        <v>0.73333333333333295</v>
      </c>
      <c r="I24">
        <v>1</v>
      </c>
      <c r="J24">
        <v>0.89361702127659604</v>
      </c>
      <c r="K24">
        <v>0.81481481481481499</v>
      </c>
      <c r="L24">
        <v>379</v>
      </c>
    </row>
    <row r="25" spans="1:12" x14ac:dyDescent="0.3">
      <c r="A25">
        <v>0.92727272727272703</v>
      </c>
      <c r="B25">
        <v>0.25</v>
      </c>
      <c r="C25">
        <v>1.25</v>
      </c>
      <c r="D25">
        <v>3</v>
      </c>
      <c r="E25">
        <v>6</v>
      </c>
      <c r="F25">
        <v>0.88888888888888895</v>
      </c>
      <c r="G25">
        <v>0.90909090909090895</v>
      </c>
      <c r="H25">
        <v>1</v>
      </c>
      <c r="I25">
        <v>0.88888888888888895</v>
      </c>
      <c r="J25">
        <v>0.90909090909090895</v>
      </c>
      <c r="K25">
        <v>1</v>
      </c>
      <c r="L25">
        <v>821</v>
      </c>
    </row>
    <row r="26" spans="1:12" x14ac:dyDescent="0.3">
      <c r="A26">
        <v>0.92727272727272703</v>
      </c>
      <c r="B26">
        <v>0.25</v>
      </c>
      <c r="C26">
        <v>1.5</v>
      </c>
      <c r="D26">
        <v>4</v>
      </c>
      <c r="E26">
        <v>5</v>
      </c>
      <c r="F26">
        <v>1</v>
      </c>
      <c r="G26">
        <v>0.90909090909090895</v>
      </c>
      <c r="H26">
        <v>0.86666666666666703</v>
      </c>
      <c r="I26">
        <v>1</v>
      </c>
      <c r="J26">
        <v>0.90909090909090895</v>
      </c>
      <c r="K26">
        <v>0.86666666666666703</v>
      </c>
      <c r="L26">
        <v>332</v>
      </c>
    </row>
    <row r="27" spans="1:12" x14ac:dyDescent="0.3">
      <c r="A27">
        <v>0.92727272727272703</v>
      </c>
      <c r="B27">
        <v>0.25</v>
      </c>
      <c r="C27">
        <v>0.25</v>
      </c>
      <c r="D27">
        <v>3</v>
      </c>
      <c r="E27">
        <v>5</v>
      </c>
      <c r="F27">
        <v>1</v>
      </c>
      <c r="G27">
        <v>0.86363636363636398</v>
      </c>
      <c r="H27">
        <v>0.93333333333333302</v>
      </c>
      <c r="I27">
        <v>0.97297297297297303</v>
      </c>
      <c r="J27">
        <v>0.90476190476190499</v>
      </c>
      <c r="K27">
        <v>0.90322580645161299</v>
      </c>
      <c r="L27">
        <v>712</v>
      </c>
    </row>
    <row r="28" spans="1:12" x14ac:dyDescent="0.3">
      <c r="A28">
        <v>0.85454545454545405</v>
      </c>
      <c r="B28">
        <v>0.75</v>
      </c>
      <c r="C28">
        <v>0.75</v>
      </c>
      <c r="D28">
        <v>5</v>
      </c>
      <c r="E28">
        <v>7</v>
      </c>
      <c r="F28">
        <v>1</v>
      </c>
      <c r="G28">
        <v>0.72727272727272696</v>
      </c>
      <c r="H28">
        <v>0.86666666666666703</v>
      </c>
      <c r="I28">
        <v>0.94736842105263197</v>
      </c>
      <c r="J28">
        <v>0.8</v>
      </c>
      <c r="K28">
        <v>0.8125</v>
      </c>
      <c r="L28">
        <v>348</v>
      </c>
    </row>
    <row r="29" spans="1:12" x14ac:dyDescent="0.3">
      <c r="A29">
        <v>0.96363636363636396</v>
      </c>
      <c r="B29">
        <v>0.25</v>
      </c>
      <c r="C29">
        <v>2.5</v>
      </c>
      <c r="D29">
        <v>3</v>
      </c>
      <c r="E29">
        <v>4</v>
      </c>
      <c r="F29">
        <v>1</v>
      </c>
      <c r="G29">
        <v>0.95454545454545503</v>
      </c>
      <c r="H29">
        <v>0.93333333333333302</v>
      </c>
      <c r="I29">
        <v>1</v>
      </c>
      <c r="J29">
        <v>0.95454545454545503</v>
      </c>
      <c r="K29">
        <v>0.93333333333333302</v>
      </c>
      <c r="L29">
        <v>660</v>
      </c>
    </row>
    <row r="30" spans="1:12" x14ac:dyDescent="0.3">
      <c r="A30">
        <v>0.92727272727272703</v>
      </c>
      <c r="B30">
        <v>1.25</v>
      </c>
      <c r="C30">
        <v>3.75</v>
      </c>
      <c r="D30">
        <v>3</v>
      </c>
      <c r="E30">
        <v>5</v>
      </c>
      <c r="F30">
        <v>1</v>
      </c>
      <c r="G30">
        <v>0.95454545454545503</v>
      </c>
      <c r="H30">
        <v>0.8</v>
      </c>
      <c r="I30">
        <v>0.97297297297297303</v>
      </c>
      <c r="J30">
        <v>0.91304347826086996</v>
      </c>
      <c r="K30">
        <v>0.88888888888888895</v>
      </c>
      <c r="L30">
        <v>44</v>
      </c>
    </row>
    <row r="31" spans="1:12" x14ac:dyDescent="0.3">
      <c r="A31">
        <v>0.98181818181818203</v>
      </c>
      <c r="B31">
        <v>1.25</v>
      </c>
      <c r="C31">
        <v>4</v>
      </c>
      <c r="D31">
        <v>4</v>
      </c>
      <c r="E31">
        <v>5</v>
      </c>
      <c r="F31">
        <v>1</v>
      </c>
      <c r="G31">
        <v>0.95454545454545503</v>
      </c>
      <c r="H31">
        <v>1</v>
      </c>
      <c r="I31">
        <v>1</v>
      </c>
      <c r="J31">
        <v>0.97674418604651203</v>
      </c>
      <c r="K31">
        <v>0.967741935483871</v>
      </c>
      <c r="L31">
        <v>560</v>
      </c>
    </row>
    <row r="32" spans="1:12" x14ac:dyDescent="0.3">
      <c r="A32">
        <v>0.89090909090909098</v>
      </c>
      <c r="B32">
        <v>0.25</v>
      </c>
      <c r="C32">
        <v>2</v>
      </c>
      <c r="D32">
        <v>3</v>
      </c>
      <c r="E32">
        <v>4</v>
      </c>
      <c r="F32">
        <v>1</v>
      </c>
      <c r="G32">
        <v>0.86363636363636398</v>
      </c>
      <c r="H32">
        <v>0.8</v>
      </c>
      <c r="I32">
        <v>0.94736842105263197</v>
      </c>
      <c r="J32">
        <v>0.88372093023255804</v>
      </c>
      <c r="K32">
        <v>0.82758620689655205</v>
      </c>
      <c r="L32">
        <v>224</v>
      </c>
    </row>
    <row r="33" spans="1:12" x14ac:dyDescent="0.3">
      <c r="A33">
        <v>1</v>
      </c>
      <c r="B33">
        <v>0.5</v>
      </c>
      <c r="C33">
        <v>1.5</v>
      </c>
      <c r="D33">
        <v>3</v>
      </c>
      <c r="E33">
        <v>5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728</v>
      </c>
    </row>
    <row r="34" spans="1:12" x14ac:dyDescent="0.3">
      <c r="A34">
        <v>0.94545454545454499</v>
      </c>
      <c r="B34">
        <v>0.25</v>
      </c>
      <c r="C34">
        <v>3</v>
      </c>
      <c r="D34">
        <v>5</v>
      </c>
      <c r="E34">
        <v>6</v>
      </c>
      <c r="F34">
        <v>0.94444444444444398</v>
      </c>
      <c r="G34">
        <v>0.95454545454545503</v>
      </c>
      <c r="H34">
        <v>0.93333333333333302</v>
      </c>
      <c r="I34">
        <v>0.91891891891891897</v>
      </c>
      <c r="J34">
        <v>0.95454545454545503</v>
      </c>
      <c r="K34">
        <v>0.96551724137931005</v>
      </c>
      <c r="L34">
        <v>822</v>
      </c>
    </row>
    <row r="35" spans="1:12" x14ac:dyDescent="0.3">
      <c r="A35">
        <v>0.98181818181818203</v>
      </c>
      <c r="B35">
        <v>0.75</v>
      </c>
      <c r="C35">
        <v>2.25</v>
      </c>
      <c r="D35">
        <v>6</v>
      </c>
      <c r="E35">
        <v>7</v>
      </c>
      <c r="F35">
        <v>1</v>
      </c>
      <c r="G35">
        <v>0.95454545454545503</v>
      </c>
      <c r="H35">
        <v>1</v>
      </c>
      <c r="I35">
        <v>0.97297297297297303</v>
      </c>
      <c r="J35">
        <v>0.97674418604651203</v>
      </c>
      <c r="K35">
        <v>1</v>
      </c>
      <c r="L35">
        <v>551</v>
      </c>
    </row>
    <row r="36" spans="1:12" x14ac:dyDescent="0.3">
      <c r="A36">
        <v>0.96363636363636396</v>
      </c>
      <c r="B36">
        <v>0.25</v>
      </c>
      <c r="C36">
        <v>0.25</v>
      </c>
      <c r="D36">
        <v>4</v>
      </c>
      <c r="E36">
        <v>6</v>
      </c>
      <c r="F36">
        <v>1</v>
      </c>
      <c r="G36">
        <v>1</v>
      </c>
      <c r="H36">
        <v>0.86666666666666703</v>
      </c>
      <c r="I36">
        <v>1</v>
      </c>
      <c r="J36">
        <v>0.95652173913043503</v>
      </c>
      <c r="K36">
        <v>0.92857142857142905</v>
      </c>
      <c r="L36">
        <v>102</v>
      </c>
    </row>
    <row r="37" spans="1:12" x14ac:dyDescent="0.3">
      <c r="A37">
        <v>0.96363636363636396</v>
      </c>
      <c r="B37">
        <v>0.75</v>
      </c>
      <c r="C37">
        <v>2.5</v>
      </c>
      <c r="D37">
        <v>3</v>
      </c>
      <c r="E37">
        <v>4</v>
      </c>
      <c r="F37">
        <v>1</v>
      </c>
      <c r="G37">
        <v>0.90909090909090895</v>
      </c>
      <c r="H37">
        <v>1</v>
      </c>
      <c r="I37">
        <v>0.97297297297297303</v>
      </c>
      <c r="J37">
        <v>0.952380952380952</v>
      </c>
      <c r="K37">
        <v>0.967741935483871</v>
      </c>
      <c r="L37">
        <v>304</v>
      </c>
    </row>
    <row r="38" spans="1:12" x14ac:dyDescent="0.3">
      <c r="A38">
        <v>0.90909090909090895</v>
      </c>
      <c r="B38">
        <v>0.25</v>
      </c>
      <c r="C38">
        <v>2.25</v>
      </c>
      <c r="D38">
        <v>4</v>
      </c>
      <c r="E38">
        <v>5</v>
      </c>
      <c r="F38">
        <v>1</v>
      </c>
      <c r="G38">
        <v>0.86363636363636398</v>
      </c>
      <c r="H38">
        <v>0.86666666666666703</v>
      </c>
      <c r="I38">
        <v>0.9</v>
      </c>
      <c r="J38">
        <v>0.92682926829268297</v>
      </c>
      <c r="K38">
        <v>0.89655172413793105</v>
      </c>
      <c r="L38">
        <v>975</v>
      </c>
    </row>
    <row r="39" spans="1:12" x14ac:dyDescent="0.3">
      <c r="A39">
        <v>0.87272727272727302</v>
      </c>
      <c r="B39">
        <v>0.25</v>
      </c>
      <c r="C39">
        <v>3</v>
      </c>
      <c r="D39">
        <v>3</v>
      </c>
      <c r="E39">
        <v>4</v>
      </c>
      <c r="F39">
        <v>0.94444444444444398</v>
      </c>
      <c r="G39">
        <v>0.95454545454545503</v>
      </c>
      <c r="H39">
        <v>0.66666666666666696</v>
      </c>
      <c r="I39">
        <v>0.94444444444444398</v>
      </c>
      <c r="J39">
        <v>0.875</v>
      </c>
      <c r="K39">
        <v>0.76923076923076905</v>
      </c>
      <c r="L39">
        <v>518</v>
      </c>
    </row>
    <row r="40" spans="1:12" x14ac:dyDescent="0.3">
      <c r="A40">
        <v>0.90909090909090895</v>
      </c>
      <c r="B40">
        <v>0.25</v>
      </c>
      <c r="C40">
        <v>2</v>
      </c>
      <c r="D40">
        <v>4</v>
      </c>
      <c r="E40">
        <v>5</v>
      </c>
      <c r="F40">
        <v>0.94444444444444398</v>
      </c>
      <c r="G40">
        <v>0.86363636363636398</v>
      </c>
      <c r="H40">
        <v>0.93333333333333302</v>
      </c>
      <c r="I40">
        <v>0.97142857142857097</v>
      </c>
      <c r="J40">
        <v>0.88372093023255804</v>
      </c>
      <c r="K40">
        <v>0.875</v>
      </c>
      <c r="L40">
        <v>208</v>
      </c>
    </row>
    <row r="41" spans="1:12" x14ac:dyDescent="0.3">
      <c r="A41">
        <v>0.96363636363636396</v>
      </c>
      <c r="B41">
        <v>0.5</v>
      </c>
      <c r="C41">
        <v>2.25</v>
      </c>
      <c r="D41">
        <v>4</v>
      </c>
      <c r="E41">
        <v>5</v>
      </c>
      <c r="F41">
        <v>1</v>
      </c>
      <c r="G41">
        <v>0.90909090909090895</v>
      </c>
      <c r="H41">
        <v>1</v>
      </c>
      <c r="I41">
        <v>1</v>
      </c>
      <c r="J41">
        <v>0.952380952380952</v>
      </c>
      <c r="K41">
        <v>0.9375</v>
      </c>
      <c r="L41">
        <v>590</v>
      </c>
    </row>
    <row r="42" spans="1:12" x14ac:dyDescent="0.3">
      <c r="A42">
        <v>0.94545454545454499</v>
      </c>
      <c r="B42">
        <v>0.25</v>
      </c>
      <c r="C42">
        <v>0.25</v>
      </c>
      <c r="D42">
        <v>3</v>
      </c>
      <c r="E42">
        <v>5</v>
      </c>
      <c r="F42">
        <v>0.94444444444444398</v>
      </c>
      <c r="G42">
        <v>0.95454545454545503</v>
      </c>
      <c r="H42">
        <v>0.93333333333333302</v>
      </c>
      <c r="I42">
        <v>0.94444444444444398</v>
      </c>
      <c r="J42">
        <v>0.93333333333333302</v>
      </c>
      <c r="K42">
        <v>0.96551724137931005</v>
      </c>
      <c r="L42">
        <v>438</v>
      </c>
    </row>
    <row r="43" spans="1:12" x14ac:dyDescent="0.3">
      <c r="A43">
        <v>0.89090909090909098</v>
      </c>
      <c r="B43">
        <v>0.25</v>
      </c>
      <c r="C43">
        <v>0.25</v>
      </c>
      <c r="D43">
        <v>3</v>
      </c>
      <c r="E43">
        <v>5</v>
      </c>
      <c r="F43">
        <v>1</v>
      </c>
      <c r="G43">
        <v>0.81818181818181801</v>
      </c>
      <c r="H43">
        <v>0.86666666666666703</v>
      </c>
      <c r="I43">
        <v>0.9</v>
      </c>
      <c r="J43">
        <v>0.9</v>
      </c>
      <c r="K43">
        <v>0.86666666666666703</v>
      </c>
      <c r="L43">
        <v>382</v>
      </c>
    </row>
    <row r="44" spans="1:12" x14ac:dyDescent="0.3">
      <c r="A44">
        <v>0.90909090909090895</v>
      </c>
      <c r="B44">
        <v>0.75</v>
      </c>
      <c r="C44">
        <v>2.5</v>
      </c>
      <c r="D44">
        <v>6</v>
      </c>
      <c r="E44">
        <v>7</v>
      </c>
      <c r="F44">
        <v>1</v>
      </c>
      <c r="G44">
        <v>0.81818181818181801</v>
      </c>
      <c r="H44">
        <v>0.93333333333333302</v>
      </c>
      <c r="I44">
        <v>0.87804878048780499</v>
      </c>
      <c r="J44">
        <v>0.9</v>
      </c>
      <c r="K44">
        <v>0.96551724137931005</v>
      </c>
      <c r="L44">
        <v>931</v>
      </c>
    </row>
    <row r="45" spans="1:12" x14ac:dyDescent="0.3">
      <c r="A45">
        <v>0.87272727272727302</v>
      </c>
      <c r="B45">
        <v>2</v>
      </c>
      <c r="C45">
        <v>2.25</v>
      </c>
      <c r="D45">
        <v>4</v>
      </c>
      <c r="E45">
        <v>6</v>
      </c>
      <c r="F45">
        <v>1</v>
      </c>
      <c r="G45">
        <v>0.72727272727272696</v>
      </c>
      <c r="H45">
        <v>0.93333333333333302</v>
      </c>
      <c r="I45">
        <v>0.85714285714285698</v>
      </c>
      <c r="J45">
        <v>0.82051282051282004</v>
      </c>
      <c r="K45">
        <v>0.96551724137931005</v>
      </c>
      <c r="L45">
        <v>342</v>
      </c>
    </row>
    <row r="46" spans="1:12" x14ac:dyDescent="0.3">
      <c r="A46">
        <v>0.92727272727272703</v>
      </c>
      <c r="B46">
        <v>0.25</v>
      </c>
      <c r="C46">
        <v>2</v>
      </c>
      <c r="D46">
        <v>3</v>
      </c>
      <c r="E46">
        <v>4</v>
      </c>
      <c r="F46">
        <v>0.88888888888888895</v>
      </c>
      <c r="G46">
        <v>1</v>
      </c>
      <c r="H46">
        <v>0.86666666666666703</v>
      </c>
      <c r="I46">
        <v>0.94117647058823495</v>
      </c>
      <c r="J46">
        <v>0.91666666666666696</v>
      </c>
      <c r="K46">
        <v>0.92857142857142905</v>
      </c>
      <c r="L46">
        <v>318</v>
      </c>
    </row>
    <row r="47" spans="1:12" x14ac:dyDescent="0.3">
      <c r="A47">
        <v>0.92727272727272703</v>
      </c>
      <c r="B47">
        <v>0.25</v>
      </c>
      <c r="C47">
        <v>0.25</v>
      </c>
      <c r="D47">
        <v>3</v>
      </c>
      <c r="E47">
        <v>5</v>
      </c>
      <c r="F47">
        <v>1</v>
      </c>
      <c r="G47">
        <v>0.81818181818181801</v>
      </c>
      <c r="H47">
        <v>1</v>
      </c>
      <c r="I47">
        <v>0.94736842105263197</v>
      </c>
      <c r="J47">
        <v>0.9</v>
      </c>
      <c r="K47">
        <v>0.9375</v>
      </c>
      <c r="L47">
        <v>835</v>
      </c>
    </row>
    <row r="48" spans="1:12" x14ac:dyDescent="0.3">
      <c r="A48">
        <v>0.92727272727272703</v>
      </c>
      <c r="B48">
        <v>3.5</v>
      </c>
      <c r="C48">
        <v>2</v>
      </c>
      <c r="D48">
        <v>3</v>
      </c>
      <c r="E48">
        <v>5</v>
      </c>
      <c r="F48">
        <v>1</v>
      </c>
      <c r="G48">
        <v>0.86363636363636398</v>
      </c>
      <c r="H48">
        <v>0.93333333333333302</v>
      </c>
      <c r="I48">
        <v>0.92307692307692302</v>
      </c>
      <c r="J48">
        <v>0.90476190476190499</v>
      </c>
      <c r="K48">
        <v>0.96551724137931005</v>
      </c>
      <c r="L48">
        <v>202</v>
      </c>
    </row>
    <row r="49" spans="1:12" x14ac:dyDescent="0.3">
      <c r="A49">
        <v>0.94545454545454499</v>
      </c>
      <c r="B49">
        <v>1.25</v>
      </c>
      <c r="C49">
        <v>3.75</v>
      </c>
      <c r="D49">
        <v>5</v>
      </c>
      <c r="E49">
        <v>6</v>
      </c>
      <c r="F49">
        <v>0.94444444444444398</v>
      </c>
      <c r="G49">
        <v>0.95454545454545503</v>
      </c>
      <c r="H49">
        <v>0.93333333333333302</v>
      </c>
      <c r="I49">
        <v>0.94444444444444398</v>
      </c>
      <c r="J49">
        <v>0.93333333333333302</v>
      </c>
      <c r="K49">
        <v>0.96551724137931005</v>
      </c>
      <c r="L49">
        <v>108</v>
      </c>
    </row>
    <row r="50" spans="1:12" x14ac:dyDescent="0.3">
      <c r="A50">
        <v>0.96363636363636396</v>
      </c>
      <c r="B50">
        <v>0.25</v>
      </c>
      <c r="C50">
        <v>1.25</v>
      </c>
      <c r="D50">
        <v>3</v>
      </c>
      <c r="E50">
        <v>5</v>
      </c>
      <c r="F50">
        <v>1</v>
      </c>
      <c r="G50">
        <v>0.95454545454545503</v>
      </c>
      <c r="H50">
        <v>0.93333333333333302</v>
      </c>
      <c r="I50">
        <v>0.97297297297297303</v>
      </c>
      <c r="J50">
        <v>0.95454545454545503</v>
      </c>
      <c r="K50">
        <v>0.96551724137931005</v>
      </c>
      <c r="L50">
        <v>193</v>
      </c>
    </row>
    <row r="51" spans="1:12" x14ac:dyDescent="0.3">
      <c r="A51">
        <v>0.92727272727272703</v>
      </c>
      <c r="B51">
        <v>0.25</v>
      </c>
      <c r="C51">
        <v>2</v>
      </c>
      <c r="D51">
        <v>3</v>
      </c>
      <c r="E51">
        <v>4</v>
      </c>
      <c r="F51">
        <v>1</v>
      </c>
      <c r="G51">
        <v>0.95454545454545503</v>
      </c>
      <c r="H51">
        <v>0.8</v>
      </c>
      <c r="I51">
        <v>1</v>
      </c>
      <c r="J51">
        <v>0.91304347826086996</v>
      </c>
      <c r="K51">
        <v>0.85714285714285698</v>
      </c>
      <c r="L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selection activeCell="E18" sqref="E18"/>
    </sheetView>
  </sheetViews>
  <sheetFormatPr defaultColWidth="11.5546875" defaultRowHeight="14.4" x14ac:dyDescent="0.3"/>
  <cols>
    <col min="2" max="2" width="19.33203125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1</v>
      </c>
      <c r="B2">
        <v>0.5</v>
      </c>
      <c r="C2">
        <v>4</v>
      </c>
      <c r="D2">
        <v>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884</v>
      </c>
    </row>
    <row r="3" spans="1:11" x14ac:dyDescent="0.3">
      <c r="A3">
        <v>0.90909090909090895</v>
      </c>
      <c r="B3">
        <v>3.75</v>
      </c>
      <c r="C3">
        <v>3</v>
      </c>
      <c r="D3">
        <v>5</v>
      </c>
      <c r="E3">
        <v>1</v>
      </c>
      <c r="F3">
        <v>0.95454545454545503</v>
      </c>
      <c r="G3">
        <v>0.73333333333333295</v>
      </c>
      <c r="H3">
        <v>0.97297297297297303</v>
      </c>
      <c r="I3">
        <v>0.89361702127659604</v>
      </c>
      <c r="J3">
        <v>0.84615384615384603</v>
      </c>
      <c r="K3">
        <v>955</v>
      </c>
    </row>
    <row r="4" spans="1:11" x14ac:dyDescent="0.3">
      <c r="A4">
        <v>0.90909090909090895</v>
      </c>
      <c r="B4">
        <v>0.75</v>
      </c>
      <c r="C4">
        <v>3</v>
      </c>
      <c r="D4">
        <v>5</v>
      </c>
      <c r="E4">
        <v>0.94444444444444398</v>
      </c>
      <c r="F4">
        <v>0.86363636363636398</v>
      </c>
      <c r="G4">
        <v>0.93333333333333302</v>
      </c>
      <c r="H4">
        <v>0.89473684210526305</v>
      </c>
      <c r="I4">
        <v>0.88372093023255804</v>
      </c>
      <c r="J4">
        <v>0.96551724137931005</v>
      </c>
      <c r="K4">
        <v>921</v>
      </c>
    </row>
    <row r="5" spans="1:11" x14ac:dyDescent="0.3">
      <c r="A5">
        <v>0.92727272727272703</v>
      </c>
      <c r="B5">
        <v>3.75</v>
      </c>
      <c r="C5">
        <v>3</v>
      </c>
      <c r="D5">
        <v>4</v>
      </c>
      <c r="E5">
        <v>1</v>
      </c>
      <c r="F5">
        <v>0.90909090909090895</v>
      </c>
      <c r="G5">
        <v>0.86666666666666703</v>
      </c>
      <c r="H5">
        <v>0.97297297297297303</v>
      </c>
      <c r="I5">
        <v>0.90909090909090895</v>
      </c>
      <c r="J5">
        <v>0.89655172413793105</v>
      </c>
      <c r="K5">
        <v>572</v>
      </c>
    </row>
    <row r="6" spans="1:11" x14ac:dyDescent="0.3">
      <c r="A6">
        <v>0.92727272727272703</v>
      </c>
      <c r="B6">
        <v>2</v>
      </c>
      <c r="C6">
        <v>6</v>
      </c>
      <c r="D6">
        <v>8</v>
      </c>
      <c r="E6">
        <v>1</v>
      </c>
      <c r="F6">
        <v>0.90909090909090895</v>
      </c>
      <c r="G6">
        <v>0.86666666666666703</v>
      </c>
      <c r="H6">
        <v>0.97297297297297303</v>
      </c>
      <c r="I6">
        <v>0.90909090909090895</v>
      </c>
      <c r="J6">
        <v>0.89655172413793105</v>
      </c>
      <c r="K6">
        <v>928</v>
      </c>
    </row>
    <row r="7" spans="1:11" x14ac:dyDescent="0.3">
      <c r="A7">
        <v>0.98181818181818203</v>
      </c>
      <c r="B7">
        <v>3</v>
      </c>
      <c r="C7">
        <v>3</v>
      </c>
      <c r="D7">
        <v>5</v>
      </c>
      <c r="E7">
        <v>0.94444444444444398</v>
      </c>
      <c r="F7">
        <v>1</v>
      </c>
      <c r="G7">
        <v>1</v>
      </c>
      <c r="H7">
        <v>0.97142857142857097</v>
      </c>
      <c r="I7">
        <v>0.97777777777777797</v>
      </c>
      <c r="J7">
        <v>1</v>
      </c>
      <c r="K7">
        <v>243</v>
      </c>
    </row>
    <row r="8" spans="1:11" x14ac:dyDescent="0.3">
      <c r="A8">
        <v>0.94545454545454499</v>
      </c>
      <c r="B8">
        <v>0.5</v>
      </c>
      <c r="C8">
        <v>3</v>
      </c>
      <c r="D8">
        <v>5</v>
      </c>
      <c r="E8">
        <v>0.94444444444444398</v>
      </c>
      <c r="F8">
        <v>1</v>
      </c>
      <c r="G8">
        <v>0.86666666666666703</v>
      </c>
      <c r="H8">
        <v>0.97142857142857097</v>
      </c>
      <c r="I8">
        <v>0.93617021276595702</v>
      </c>
      <c r="J8">
        <v>0.92857142857142905</v>
      </c>
      <c r="K8">
        <v>756</v>
      </c>
    </row>
    <row r="9" spans="1:11" x14ac:dyDescent="0.3">
      <c r="A9">
        <v>1</v>
      </c>
      <c r="B9">
        <v>3.75</v>
      </c>
      <c r="C9">
        <v>4</v>
      </c>
      <c r="D9">
        <v>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847</v>
      </c>
    </row>
    <row r="10" spans="1:11" x14ac:dyDescent="0.3">
      <c r="A10">
        <v>0.92727272727272703</v>
      </c>
      <c r="B10">
        <v>0.25</v>
      </c>
      <c r="C10">
        <v>3</v>
      </c>
      <c r="D10">
        <v>5</v>
      </c>
      <c r="E10">
        <v>1</v>
      </c>
      <c r="F10">
        <v>0.86363636363636398</v>
      </c>
      <c r="G10">
        <v>0.93333333333333302</v>
      </c>
      <c r="H10">
        <v>0.92307692307692302</v>
      </c>
      <c r="I10">
        <v>0.92682926829268297</v>
      </c>
      <c r="J10">
        <v>0.93333333333333302</v>
      </c>
      <c r="K10">
        <v>328</v>
      </c>
    </row>
    <row r="11" spans="1:11" x14ac:dyDescent="0.3">
      <c r="A11">
        <v>0.89090909090909098</v>
      </c>
      <c r="B11">
        <v>0.25</v>
      </c>
      <c r="C11">
        <v>3</v>
      </c>
      <c r="D11">
        <v>6</v>
      </c>
      <c r="E11">
        <v>0.94444444444444398</v>
      </c>
      <c r="F11">
        <v>0.86363636363636398</v>
      </c>
      <c r="G11">
        <v>0.86666666666666703</v>
      </c>
      <c r="H11">
        <v>0.89473684210526305</v>
      </c>
      <c r="I11">
        <v>0.86363636363636398</v>
      </c>
      <c r="J11">
        <v>0.92857142857142905</v>
      </c>
      <c r="K11">
        <v>266</v>
      </c>
    </row>
    <row r="12" spans="1:11" x14ac:dyDescent="0.3">
      <c r="A12">
        <v>0.92727272727272703</v>
      </c>
      <c r="B12">
        <v>3.75</v>
      </c>
      <c r="C12">
        <v>4</v>
      </c>
      <c r="D12">
        <v>6</v>
      </c>
      <c r="E12">
        <v>1</v>
      </c>
      <c r="F12">
        <v>0.90909090909090895</v>
      </c>
      <c r="G12">
        <v>0.86666666666666703</v>
      </c>
      <c r="H12">
        <v>0.97297297297297303</v>
      </c>
      <c r="I12">
        <v>0.90909090909090895</v>
      </c>
      <c r="J12">
        <v>0.89655172413793105</v>
      </c>
      <c r="K12">
        <v>462</v>
      </c>
    </row>
    <row r="13" spans="1:11" x14ac:dyDescent="0.3">
      <c r="A13">
        <v>0.92727272727272703</v>
      </c>
      <c r="B13">
        <v>4</v>
      </c>
      <c r="C13">
        <v>4</v>
      </c>
      <c r="D13">
        <v>5</v>
      </c>
      <c r="E13">
        <v>0.88888888888888895</v>
      </c>
      <c r="F13">
        <v>0.95454545454545503</v>
      </c>
      <c r="G13">
        <v>0.93333333333333302</v>
      </c>
      <c r="H13">
        <v>0.91428571428571404</v>
      </c>
      <c r="I13">
        <v>0.91304347826086996</v>
      </c>
      <c r="J13">
        <v>0.96551724137931005</v>
      </c>
      <c r="K13">
        <v>308</v>
      </c>
    </row>
    <row r="14" spans="1:11" x14ac:dyDescent="0.3">
      <c r="A14">
        <v>0.89090909090909098</v>
      </c>
      <c r="B14">
        <v>0.25</v>
      </c>
      <c r="C14">
        <v>3</v>
      </c>
      <c r="D14">
        <v>5</v>
      </c>
      <c r="E14">
        <v>1</v>
      </c>
      <c r="F14">
        <v>0.86363636363636398</v>
      </c>
      <c r="G14">
        <v>0.8</v>
      </c>
      <c r="H14">
        <v>0.94736842105263197</v>
      </c>
      <c r="I14">
        <v>0.88372093023255804</v>
      </c>
      <c r="J14">
        <v>0.82758620689655205</v>
      </c>
      <c r="K14">
        <v>181</v>
      </c>
    </row>
    <row r="15" spans="1:11" x14ac:dyDescent="0.3">
      <c r="A15">
        <v>0.96363636363636396</v>
      </c>
      <c r="B15">
        <v>0.25</v>
      </c>
      <c r="C15">
        <v>3</v>
      </c>
      <c r="D15">
        <v>5</v>
      </c>
      <c r="E15">
        <v>1</v>
      </c>
      <c r="F15">
        <v>0.90909090909090895</v>
      </c>
      <c r="G15">
        <v>1</v>
      </c>
      <c r="H15">
        <v>0.97297297297297303</v>
      </c>
      <c r="I15">
        <v>0.952380952380952</v>
      </c>
      <c r="J15">
        <v>0.967741935483871</v>
      </c>
      <c r="K15">
        <v>442</v>
      </c>
    </row>
    <row r="16" spans="1:11" x14ac:dyDescent="0.3">
      <c r="A16">
        <v>0.96363636363636396</v>
      </c>
      <c r="B16">
        <v>4</v>
      </c>
      <c r="C16">
        <v>3</v>
      </c>
      <c r="D16">
        <v>5</v>
      </c>
      <c r="E16">
        <v>1</v>
      </c>
      <c r="F16">
        <v>0.95454545454545503</v>
      </c>
      <c r="G16">
        <v>0.93333333333333302</v>
      </c>
      <c r="H16">
        <v>0.97297297297297303</v>
      </c>
      <c r="I16">
        <v>0.95454545454545503</v>
      </c>
      <c r="J16">
        <v>0.96551724137931005</v>
      </c>
      <c r="K16">
        <v>41</v>
      </c>
    </row>
    <row r="17" spans="1:11" x14ac:dyDescent="0.3">
      <c r="A17">
        <v>0.98181818181818203</v>
      </c>
      <c r="B17">
        <v>4</v>
      </c>
      <c r="C17">
        <v>4</v>
      </c>
      <c r="D17">
        <v>6</v>
      </c>
      <c r="E17">
        <v>1</v>
      </c>
      <c r="F17">
        <v>0.95454545454545503</v>
      </c>
      <c r="G17">
        <v>1</v>
      </c>
      <c r="H17">
        <v>0.97297297297297303</v>
      </c>
      <c r="I17">
        <v>0.97674418604651203</v>
      </c>
      <c r="J17">
        <v>1</v>
      </c>
      <c r="K17">
        <v>51</v>
      </c>
    </row>
    <row r="18" spans="1:11" x14ac:dyDescent="0.3">
      <c r="A18">
        <v>0.94545454545454499</v>
      </c>
      <c r="B18">
        <v>3.75</v>
      </c>
      <c r="C18">
        <v>3</v>
      </c>
      <c r="D18">
        <v>4</v>
      </c>
      <c r="E18">
        <v>1</v>
      </c>
      <c r="F18">
        <v>0.90909090909090895</v>
      </c>
      <c r="G18">
        <v>0.93333333333333302</v>
      </c>
      <c r="H18">
        <v>0.97297297297297303</v>
      </c>
      <c r="I18">
        <v>0.93023255813953498</v>
      </c>
      <c r="J18">
        <v>0.93333333333333302</v>
      </c>
      <c r="K18">
        <v>34</v>
      </c>
    </row>
    <row r="19" spans="1:11" x14ac:dyDescent="0.3">
      <c r="A19">
        <v>0.94545454545454499</v>
      </c>
      <c r="B19">
        <v>0.25</v>
      </c>
      <c r="C19">
        <v>3</v>
      </c>
      <c r="D19">
        <v>6</v>
      </c>
      <c r="E19">
        <v>0.88888888888888895</v>
      </c>
      <c r="F19">
        <v>0.95454545454545503</v>
      </c>
      <c r="G19">
        <v>1</v>
      </c>
      <c r="H19">
        <v>0.91428571428571404</v>
      </c>
      <c r="I19">
        <v>0.93333333333333302</v>
      </c>
      <c r="J19">
        <v>1</v>
      </c>
      <c r="K19">
        <v>45</v>
      </c>
    </row>
    <row r="20" spans="1:11" x14ac:dyDescent="0.3">
      <c r="A20">
        <v>0.94545454545454499</v>
      </c>
      <c r="B20">
        <v>0.25</v>
      </c>
      <c r="C20">
        <v>3</v>
      </c>
      <c r="D20">
        <v>5</v>
      </c>
      <c r="E20">
        <v>1</v>
      </c>
      <c r="F20">
        <v>0.90909090909090895</v>
      </c>
      <c r="G20">
        <v>0.93333333333333302</v>
      </c>
      <c r="H20">
        <v>0.97297297297297303</v>
      </c>
      <c r="I20">
        <v>0.93023255813953498</v>
      </c>
      <c r="J20">
        <v>0.93333333333333302</v>
      </c>
      <c r="K20">
        <v>719</v>
      </c>
    </row>
    <row r="21" spans="1:11" x14ac:dyDescent="0.3">
      <c r="A21">
        <v>0.92727272727272703</v>
      </c>
      <c r="B21">
        <v>0.25</v>
      </c>
      <c r="C21">
        <v>3</v>
      </c>
      <c r="D21">
        <v>5</v>
      </c>
      <c r="E21">
        <v>0.88888888888888895</v>
      </c>
      <c r="F21">
        <v>0.90909090909090895</v>
      </c>
      <c r="G21">
        <v>1</v>
      </c>
      <c r="H21">
        <v>0.91428571428571404</v>
      </c>
      <c r="I21">
        <v>0.90909090909090895</v>
      </c>
      <c r="J21">
        <v>0.967741935483871</v>
      </c>
      <c r="K21">
        <v>377</v>
      </c>
    </row>
    <row r="22" spans="1:11" x14ac:dyDescent="0.3">
      <c r="A22">
        <v>0.96363636363636396</v>
      </c>
      <c r="B22">
        <v>0.5</v>
      </c>
      <c r="C22">
        <v>3</v>
      </c>
      <c r="D22">
        <v>6</v>
      </c>
      <c r="E22">
        <v>0.88888888888888895</v>
      </c>
      <c r="F22">
        <v>1</v>
      </c>
      <c r="G22">
        <v>1</v>
      </c>
      <c r="H22">
        <v>0.94117647058823495</v>
      </c>
      <c r="I22">
        <v>0.95652173913043503</v>
      </c>
      <c r="J22">
        <v>1</v>
      </c>
      <c r="K22">
        <v>212</v>
      </c>
    </row>
    <row r="23" spans="1:11" x14ac:dyDescent="0.3">
      <c r="A23">
        <v>0.96363636363636396</v>
      </c>
      <c r="B23">
        <v>3.75</v>
      </c>
      <c r="C23">
        <v>4</v>
      </c>
      <c r="D23">
        <v>5</v>
      </c>
      <c r="E23">
        <v>1</v>
      </c>
      <c r="F23">
        <v>0.95454545454545503</v>
      </c>
      <c r="G23">
        <v>0.93333333333333302</v>
      </c>
      <c r="H23">
        <v>1</v>
      </c>
      <c r="I23">
        <v>0.95454545454545503</v>
      </c>
      <c r="J23">
        <v>0.93333333333333302</v>
      </c>
      <c r="K23">
        <v>883</v>
      </c>
    </row>
    <row r="24" spans="1:11" x14ac:dyDescent="0.3">
      <c r="A24">
        <v>0.90909090909090895</v>
      </c>
      <c r="B24">
        <v>4</v>
      </c>
      <c r="C24">
        <v>4</v>
      </c>
      <c r="D24">
        <v>5</v>
      </c>
      <c r="E24">
        <v>1</v>
      </c>
      <c r="F24">
        <v>0.95454545454545503</v>
      </c>
      <c r="G24">
        <v>0.73333333333333295</v>
      </c>
      <c r="H24">
        <v>1</v>
      </c>
      <c r="I24">
        <v>0.89361702127659604</v>
      </c>
      <c r="J24">
        <v>0.81481481481481499</v>
      </c>
      <c r="K24">
        <v>379</v>
      </c>
    </row>
    <row r="25" spans="1:11" x14ac:dyDescent="0.3">
      <c r="A25">
        <v>0.94545454545454499</v>
      </c>
      <c r="B25">
        <v>4</v>
      </c>
      <c r="C25">
        <v>3</v>
      </c>
      <c r="D25">
        <v>5</v>
      </c>
      <c r="E25">
        <v>0.94444444444444398</v>
      </c>
      <c r="F25">
        <v>1</v>
      </c>
      <c r="G25">
        <v>0.86666666666666703</v>
      </c>
      <c r="H25">
        <v>0.97142857142857097</v>
      </c>
      <c r="I25">
        <v>0.93617021276595702</v>
      </c>
      <c r="J25">
        <v>0.92857142857142905</v>
      </c>
      <c r="K25">
        <v>821</v>
      </c>
    </row>
    <row r="26" spans="1:11" x14ac:dyDescent="0.3">
      <c r="A26">
        <v>0.96363636363636396</v>
      </c>
      <c r="B26">
        <v>0.25</v>
      </c>
      <c r="C26">
        <v>3</v>
      </c>
      <c r="D26">
        <v>5</v>
      </c>
      <c r="E26">
        <v>1</v>
      </c>
      <c r="F26">
        <v>0.90909090909090895</v>
      </c>
      <c r="G26">
        <v>1</v>
      </c>
      <c r="H26">
        <v>0.97297297297297303</v>
      </c>
      <c r="I26">
        <v>0.952380952380952</v>
      </c>
      <c r="J26">
        <v>0.967741935483871</v>
      </c>
      <c r="K26">
        <v>332</v>
      </c>
    </row>
    <row r="27" spans="1:11" x14ac:dyDescent="0.3">
      <c r="A27">
        <v>0.92727272727272703</v>
      </c>
      <c r="B27">
        <v>3.75</v>
      </c>
      <c r="C27">
        <v>3</v>
      </c>
      <c r="D27">
        <v>5</v>
      </c>
      <c r="E27">
        <v>1</v>
      </c>
      <c r="F27">
        <v>0.90909090909090895</v>
      </c>
      <c r="G27">
        <v>0.86666666666666703</v>
      </c>
      <c r="H27">
        <v>0.97297297297297303</v>
      </c>
      <c r="I27">
        <v>0.90909090909090895</v>
      </c>
      <c r="J27">
        <v>0.89655172413793105</v>
      </c>
      <c r="K27">
        <v>712</v>
      </c>
    </row>
    <row r="28" spans="1:11" x14ac:dyDescent="0.3">
      <c r="A28">
        <v>0.92727272727272703</v>
      </c>
      <c r="B28">
        <v>3</v>
      </c>
      <c r="C28">
        <v>4</v>
      </c>
      <c r="D28">
        <v>5</v>
      </c>
      <c r="E28">
        <v>1</v>
      </c>
      <c r="F28">
        <v>0.90909090909090895</v>
      </c>
      <c r="G28">
        <v>0.86666666666666703</v>
      </c>
      <c r="H28">
        <v>0.97297297297297303</v>
      </c>
      <c r="I28">
        <v>0.93023255813953498</v>
      </c>
      <c r="J28">
        <v>0.86666666666666703</v>
      </c>
      <c r="K28">
        <v>348</v>
      </c>
    </row>
    <row r="29" spans="1:11" x14ac:dyDescent="0.3">
      <c r="A29">
        <v>0.92727272727272703</v>
      </c>
      <c r="B29">
        <v>0.75</v>
      </c>
      <c r="C29">
        <v>3</v>
      </c>
      <c r="D29">
        <v>5</v>
      </c>
      <c r="E29">
        <v>1</v>
      </c>
      <c r="F29">
        <v>0.86363636363636398</v>
      </c>
      <c r="G29">
        <v>0.93333333333333302</v>
      </c>
      <c r="H29">
        <v>0.94736842105263197</v>
      </c>
      <c r="I29">
        <v>0.90476190476190499</v>
      </c>
      <c r="J29">
        <v>0.93333333333333302</v>
      </c>
      <c r="K29">
        <v>660</v>
      </c>
    </row>
    <row r="30" spans="1:11" x14ac:dyDescent="0.3">
      <c r="A30">
        <v>0.92727272727272703</v>
      </c>
      <c r="B30">
        <v>3.75</v>
      </c>
      <c r="C30">
        <v>3</v>
      </c>
      <c r="D30">
        <v>5</v>
      </c>
      <c r="E30">
        <v>1</v>
      </c>
      <c r="F30">
        <v>0.95454545454545503</v>
      </c>
      <c r="G30">
        <v>0.8</v>
      </c>
      <c r="H30">
        <v>0.97297297297297303</v>
      </c>
      <c r="I30">
        <v>0.91304347826086996</v>
      </c>
      <c r="J30">
        <v>0.88888888888888895</v>
      </c>
      <c r="K30">
        <v>44</v>
      </c>
    </row>
    <row r="31" spans="1:11" x14ac:dyDescent="0.3">
      <c r="A31">
        <v>0.92727272727272703</v>
      </c>
      <c r="B31">
        <v>0.25</v>
      </c>
      <c r="C31">
        <v>4</v>
      </c>
      <c r="D31">
        <v>7</v>
      </c>
      <c r="E31">
        <v>1</v>
      </c>
      <c r="F31">
        <v>0.81818181818181801</v>
      </c>
      <c r="G31">
        <v>1</v>
      </c>
      <c r="H31">
        <v>0.92307692307692302</v>
      </c>
      <c r="I31">
        <v>0.9</v>
      </c>
      <c r="J31">
        <v>0.967741935483871</v>
      </c>
      <c r="K31">
        <v>560</v>
      </c>
    </row>
    <row r="32" spans="1:11" x14ac:dyDescent="0.3">
      <c r="A32">
        <v>0.89090909090909098</v>
      </c>
      <c r="B32">
        <v>3.25</v>
      </c>
      <c r="C32">
        <v>3</v>
      </c>
      <c r="D32">
        <v>4</v>
      </c>
      <c r="E32">
        <v>1</v>
      </c>
      <c r="F32">
        <v>0.86363636363636398</v>
      </c>
      <c r="G32">
        <v>0.8</v>
      </c>
      <c r="H32">
        <v>0.94736842105263197</v>
      </c>
      <c r="I32">
        <v>0.88372093023255804</v>
      </c>
      <c r="J32">
        <v>0.82758620689655205</v>
      </c>
      <c r="K32">
        <v>224</v>
      </c>
    </row>
    <row r="33" spans="1:11" x14ac:dyDescent="0.3">
      <c r="A33">
        <v>0.98181818181818203</v>
      </c>
      <c r="B33">
        <v>3.25</v>
      </c>
      <c r="C33">
        <v>4</v>
      </c>
      <c r="D33">
        <v>6</v>
      </c>
      <c r="E33">
        <v>1</v>
      </c>
      <c r="F33">
        <v>0.95454545454545503</v>
      </c>
      <c r="G33">
        <v>1</v>
      </c>
      <c r="H33">
        <v>0.97297297297297303</v>
      </c>
      <c r="I33">
        <v>0.97674418604651203</v>
      </c>
      <c r="J33">
        <v>1</v>
      </c>
      <c r="K33">
        <v>728</v>
      </c>
    </row>
    <row r="34" spans="1:11" x14ac:dyDescent="0.3">
      <c r="A34">
        <v>0.89090909090909098</v>
      </c>
      <c r="B34">
        <v>0.25</v>
      </c>
      <c r="C34">
        <v>3</v>
      </c>
      <c r="D34">
        <v>5</v>
      </c>
      <c r="E34">
        <v>1</v>
      </c>
      <c r="F34">
        <v>0.86363636363636398</v>
      </c>
      <c r="G34">
        <v>0.8</v>
      </c>
      <c r="H34">
        <v>0.97297297297297303</v>
      </c>
      <c r="I34">
        <v>0.86363636363636398</v>
      </c>
      <c r="J34">
        <v>0.82758620689655205</v>
      </c>
      <c r="K34">
        <v>822</v>
      </c>
    </row>
    <row r="35" spans="1:11" x14ac:dyDescent="0.3">
      <c r="A35">
        <v>0.96363636363636396</v>
      </c>
      <c r="B35">
        <v>0.5</v>
      </c>
      <c r="C35">
        <v>3</v>
      </c>
      <c r="D35">
        <v>6</v>
      </c>
      <c r="E35">
        <v>1</v>
      </c>
      <c r="F35">
        <v>0.90909090909090895</v>
      </c>
      <c r="G35">
        <v>1</v>
      </c>
      <c r="H35">
        <v>0.94736842105263197</v>
      </c>
      <c r="I35">
        <v>0.952380952380952</v>
      </c>
      <c r="J35">
        <v>1</v>
      </c>
      <c r="K35">
        <v>551</v>
      </c>
    </row>
    <row r="36" spans="1:11" x14ac:dyDescent="0.3">
      <c r="A36">
        <v>0.96363636363636396</v>
      </c>
      <c r="B36">
        <v>0.5</v>
      </c>
      <c r="C36">
        <v>4</v>
      </c>
      <c r="D36">
        <v>6</v>
      </c>
      <c r="E36">
        <v>1</v>
      </c>
      <c r="F36">
        <v>1</v>
      </c>
      <c r="G36">
        <v>0.86666666666666703</v>
      </c>
      <c r="H36">
        <v>1</v>
      </c>
      <c r="I36">
        <v>0.95652173913043503</v>
      </c>
      <c r="J36">
        <v>0.92857142857142905</v>
      </c>
      <c r="K36">
        <v>102</v>
      </c>
    </row>
    <row r="37" spans="1:11" x14ac:dyDescent="0.3">
      <c r="A37">
        <v>0.96363636363636396</v>
      </c>
      <c r="B37">
        <v>4</v>
      </c>
      <c r="C37">
        <v>3</v>
      </c>
      <c r="D37">
        <v>4</v>
      </c>
      <c r="E37">
        <v>1</v>
      </c>
      <c r="F37">
        <v>0.90909090909090895</v>
      </c>
      <c r="G37">
        <v>1</v>
      </c>
      <c r="H37">
        <v>0.97297297297297303</v>
      </c>
      <c r="I37">
        <v>0.952380952380952</v>
      </c>
      <c r="J37">
        <v>0.967741935483871</v>
      </c>
      <c r="K37">
        <v>304</v>
      </c>
    </row>
    <row r="38" spans="1:11" x14ac:dyDescent="0.3">
      <c r="A38">
        <v>1</v>
      </c>
      <c r="B38">
        <v>0.5</v>
      </c>
      <c r="C38">
        <v>4</v>
      </c>
      <c r="D38">
        <v>7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975</v>
      </c>
    </row>
    <row r="39" spans="1:11" x14ac:dyDescent="0.3">
      <c r="A39">
        <v>0.87272727272727302</v>
      </c>
      <c r="B39">
        <v>0.75</v>
      </c>
      <c r="C39">
        <v>3</v>
      </c>
      <c r="D39">
        <v>6</v>
      </c>
      <c r="E39">
        <v>0.94444444444444398</v>
      </c>
      <c r="F39">
        <v>0.90909090909090895</v>
      </c>
      <c r="G39">
        <v>0.73333333333333295</v>
      </c>
      <c r="H39">
        <v>0.91891891891891897</v>
      </c>
      <c r="I39">
        <v>0.86956521739130399</v>
      </c>
      <c r="J39">
        <v>0.81481481481481499</v>
      </c>
      <c r="K39">
        <v>518</v>
      </c>
    </row>
    <row r="40" spans="1:11" x14ac:dyDescent="0.3">
      <c r="A40">
        <v>0.90909090909090895</v>
      </c>
      <c r="B40">
        <v>3.75</v>
      </c>
      <c r="C40">
        <v>4</v>
      </c>
      <c r="D40">
        <v>5</v>
      </c>
      <c r="E40">
        <v>0.94444444444444398</v>
      </c>
      <c r="F40">
        <v>0.86363636363636398</v>
      </c>
      <c r="G40">
        <v>0.93333333333333302</v>
      </c>
      <c r="H40">
        <v>0.97142857142857097</v>
      </c>
      <c r="I40">
        <v>0.88372093023255804</v>
      </c>
      <c r="J40">
        <v>0.875</v>
      </c>
      <c r="K40">
        <v>208</v>
      </c>
    </row>
    <row r="41" spans="1:11" x14ac:dyDescent="0.3">
      <c r="A41">
        <v>0.92727272727272703</v>
      </c>
      <c r="B41">
        <v>3.5</v>
      </c>
      <c r="C41">
        <v>4</v>
      </c>
      <c r="D41">
        <v>7</v>
      </c>
      <c r="E41">
        <v>0.88888888888888895</v>
      </c>
      <c r="F41">
        <v>0.90909090909090895</v>
      </c>
      <c r="G41">
        <v>1</v>
      </c>
      <c r="H41">
        <v>0.88888888888888895</v>
      </c>
      <c r="I41">
        <v>0.90909090909090895</v>
      </c>
      <c r="J41">
        <v>1</v>
      </c>
      <c r="K41">
        <v>590</v>
      </c>
    </row>
    <row r="42" spans="1:11" x14ac:dyDescent="0.3">
      <c r="A42">
        <v>0.94545454545454499</v>
      </c>
      <c r="B42">
        <v>0.25</v>
      </c>
      <c r="C42">
        <v>3</v>
      </c>
      <c r="D42">
        <v>5</v>
      </c>
      <c r="E42">
        <v>0.94444444444444398</v>
      </c>
      <c r="F42">
        <v>0.95454545454545503</v>
      </c>
      <c r="G42">
        <v>0.93333333333333302</v>
      </c>
      <c r="H42">
        <v>0.94444444444444398</v>
      </c>
      <c r="I42">
        <v>0.93333333333333302</v>
      </c>
      <c r="J42">
        <v>0.96551724137931005</v>
      </c>
      <c r="K42">
        <v>438</v>
      </c>
    </row>
    <row r="43" spans="1:11" x14ac:dyDescent="0.3">
      <c r="A43">
        <v>0.89090909090909098</v>
      </c>
      <c r="B43">
        <v>0.25</v>
      </c>
      <c r="C43">
        <v>3</v>
      </c>
      <c r="D43">
        <v>5</v>
      </c>
      <c r="E43">
        <v>1</v>
      </c>
      <c r="F43">
        <v>0.81818181818181801</v>
      </c>
      <c r="G43">
        <v>0.86666666666666703</v>
      </c>
      <c r="H43">
        <v>0.9</v>
      </c>
      <c r="I43">
        <v>0.9</v>
      </c>
      <c r="J43">
        <v>0.86666666666666703</v>
      </c>
      <c r="K43">
        <v>382</v>
      </c>
    </row>
    <row r="44" spans="1:11" x14ac:dyDescent="0.3">
      <c r="A44">
        <v>0.87272727272727302</v>
      </c>
      <c r="B44">
        <v>0.25</v>
      </c>
      <c r="C44">
        <v>3</v>
      </c>
      <c r="D44">
        <v>5</v>
      </c>
      <c r="E44">
        <v>1</v>
      </c>
      <c r="F44">
        <v>0.68181818181818199</v>
      </c>
      <c r="G44">
        <v>1</v>
      </c>
      <c r="H44">
        <v>0.87804878048780499</v>
      </c>
      <c r="I44">
        <v>0.81081081081081097</v>
      </c>
      <c r="J44">
        <v>0.9375</v>
      </c>
      <c r="K44">
        <v>931</v>
      </c>
    </row>
    <row r="45" spans="1:11" x14ac:dyDescent="0.3">
      <c r="A45">
        <v>0.87272727272727302</v>
      </c>
      <c r="B45">
        <v>2.5</v>
      </c>
      <c r="C45">
        <v>4</v>
      </c>
      <c r="D45">
        <v>6</v>
      </c>
      <c r="E45">
        <v>1</v>
      </c>
      <c r="F45">
        <v>0.72727272727272696</v>
      </c>
      <c r="G45">
        <v>0.93333333333333302</v>
      </c>
      <c r="H45">
        <v>0.85714285714285698</v>
      </c>
      <c r="I45">
        <v>0.82051282051282004</v>
      </c>
      <c r="J45">
        <v>0.96551724137931005</v>
      </c>
      <c r="K45">
        <v>342</v>
      </c>
    </row>
    <row r="46" spans="1:11" x14ac:dyDescent="0.3">
      <c r="A46">
        <v>0.89090909090909098</v>
      </c>
      <c r="B46">
        <v>3.5</v>
      </c>
      <c r="C46">
        <v>4</v>
      </c>
      <c r="D46">
        <v>6</v>
      </c>
      <c r="E46">
        <v>0.88888888888888895</v>
      </c>
      <c r="F46">
        <v>0.90909090909090895</v>
      </c>
      <c r="G46">
        <v>0.86666666666666703</v>
      </c>
      <c r="H46">
        <v>0.84210526315789502</v>
      </c>
      <c r="I46">
        <v>0.90909090909090895</v>
      </c>
      <c r="J46">
        <v>0.92857142857142905</v>
      </c>
      <c r="K46">
        <v>318</v>
      </c>
    </row>
    <row r="47" spans="1:11" x14ac:dyDescent="0.3">
      <c r="A47">
        <v>0.92727272727272703</v>
      </c>
      <c r="B47">
        <v>0.25</v>
      </c>
      <c r="C47">
        <v>3</v>
      </c>
      <c r="D47">
        <v>5</v>
      </c>
      <c r="E47">
        <v>1</v>
      </c>
      <c r="F47">
        <v>0.81818181818181801</v>
      </c>
      <c r="G47">
        <v>1</v>
      </c>
      <c r="H47">
        <v>0.94736842105263197</v>
      </c>
      <c r="I47">
        <v>0.9</v>
      </c>
      <c r="J47">
        <v>0.9375</v>
      </c>
      <c r="K47">
        <v>835</v>
      </c>
    </row>
    <row r="48" spans="1:11" x14ac:dyDescent="0.3">
      <c r="A48">
        <v>0.92727272727272703</v>
      </c>
      <c r="B48">
        <v>1.25</v>
      </c>
      <c r="C48">
        <v>3</v>
      </c>
      <c r="D48">
        <v>5</v>
      </c>
      <c r="E48">
        <v>1</v>
      </c>
      <c r="F48">
        <v>0.86363636363636398</v>
      </c>
      <c r="G48">
        <v>0.93333333333333302</v>
      </c>
      <c r="H48">
        <v>0.92307692307692302</v>
      </c>
      <c r="I48">
        <v>0.90476190476190499</v>
      </c>
      <c r="J48">
        <v>0.96551724137931005</v>
      </c>
      <c r="K48">
        <v>202</v>
      </c>
    </row>
    <row r="49" spans="1:11" x14ac:dyDescent="0.3">
      <c r="A49">
        <v>1</v>
      </c>
      <c r="B49">
        <v>3.75</v>
      </c>
      <c r="C49">
        <v>4</v>
      </c>
      <c r="D49">
        <v>6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108</v>
      </c>
    </row>
    <row r="50" spans="1:11" x14ac:dyDescent="0.3">
      <c r="A50">
        <v>0.96363636363636396</v>
      </c>
      <c r="B50">
        <v>4</v>
      </c>
      <c r="C50">
        <v>3</v>
      </c>
      <c r="D50">
        <v>5</v>
      </c>
      <c r="E50">
        <v>1</v>
      </c>
      <c r="F50">
        <v>0.95454545454545503</v>
      </c>
      <c r="G50">
        <v>0.93333333333333302</v>
      </c>
      <c r="H50">
        <v>0.97297297297297303</v>
      </c>
      <c r="I50">
        <v>0.95454545454545503</v>
      </c>
      <c r="J50">
        <v>0.96551724137931005</v>
      </c>
      <c r="K50">
        <v>193</v>
      </c>
    </row>
    <row r="51" spans="1:11" x14ac:dyDescent="0.3">
      <c r="A51">
        <v>0.90909090909090895</v>
      </c>
      <c r="B51">
        <v>3.5</v>
      </c>
      <c r="C51">
        <v>4</v>
      </c>
      <c r="D51">
        <v>5</v>
      </c>
      <c r="E51">
        <v>1</v>
      </c>
      <c r="F51">
        <v>0.90909090909090895</v>
      </c>
      <c r="G51">
        <v>0.8</v>
      </c>
      <c r="H51">
        <v>0.97297297297297303</v>
      </c>
      <c r="I51">
        <v>0.88888888888888895</v>
      </c>
      <c r="J51">
        <v>0.85714285714285698</v>
      </c>
      <c r="K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0.94545454545454499</v>
      </c>
      <c r="B2">
        <v>3</v>
      </c>
      <c r="C2">
        <v>2.5</v>
      </c>
      <c r="D2">
        <v>6</v>
      </c>
      <c r="E2">
        <v>7</v>
      </c>
      <c r="F2">
        <v>1</v>
      </c>
      <c r="G2">
        <v>0.86363636363636398</v>
      </c>
      <c r="H2">
        <v>1</v>
      </c>
      <c r="I2">
        <v>0.97297297297297303</v>
      </c>
      <c r="J2">
        <v>0.92682926829268297</v>
      </c>
      <c r="K2">
        <v>0.9375</v>
      </c>
      <c r="L2">
        <v>884</v>
      </c>
    </row>
    <row r="3" spans="1:12" x14ac:dyDescent="0.3">
      <c r="A3">
        <v>0.90909090909090895</v>
      </c>
      <c r="B3">
        <v>3.75</v>
      </c>
      <c r="C3">
        <v>1.5</v>
      </c>
      <c r="D3">
        <v>3</v>
      </c>
      <c r="E3">
        <v>5</v>
      </c>
      <c r="F3">
        <v>1</v>
      </c>
      <c r="G3">
        <v>0.95454545454545503</v>
      </c>
      <c r="H3">
        <v>0.73333333333333295</v>
      </c>
      <c r="I3">
        <v>0.97297297297297303</v>
      </c>
      <c r="J3">
        <v>0.89361702127659604</v>
      </c>
      <c r="K3">
        <v>0.84615384615384603</v>
      </c>
      <c r="L3">
        <v>955</v>
      </c>
    </row>
    <row r="4" spans="1:12" x14ac:dyDescent="0.3">
      <c r="A4">
        <v>0.90909090909090895</v>
      </c>
      <c r="B4">
        <v>3.5</v>
      </c>
      <c r="C4">
        <v>0.25</v>
      </c>
      <c r="D4">
        <v>3</v>
      </c>
      <c r="E4">
        <v>5</v>
      </c>
      <c r="F4">
        <v>0.94444444444444398</v>
      </c>
      <c r="G4">
        <v>0.86363636363636398</v>
      </c>
      <c r="H4">
        <v>0.93333333333333302</v>
      </c>
      <c r="I4">
        <v>0.89473684210526305</v>
      </c>
      <c r="J4">
        <v>0.88372093023255804</v>
      </c>
      <c r="K4">
        <v>0.96551724137931005</v>
      </c>
      <c r="L4">
        <v>921</v>
      </c>
    </row>
    <row r="5" spans="1:12" x14ac:dyDescent="0.3">
      <c r="A5">
        <v>0.92727272727272703</v>
      </c>
      <c r="B5">
        <v>3</v>
      </c>
      <c r="C5">
        <v>1.25</v>
      </c>
      <c r="D5">
        <v>3</v>
      </c>
      <c r="E5">
        <v>4</v>
      </c>
      <c r="F5">
        <v>1</v>
      </c>
      <c r="G5">
        <v>0.90909090909090895</v>
      </c>
      <c r="H5">
        <v>0.86666666666666703</v>
      </c>
      <c r="I5">
        <v>0.97297297297297303</v>
      </c>
      <c r="J5">
        <v>0.90909090909090895</v>
      </c>
      <c r="K5">
        <v>0.89655172413793105</v>
      </c>
      <c r="L5">
        <v>572</v>
      </c>
    </row>
    <row r="6" spans="1:12" x14ac:dyDescent="0.3">
      <c r="A6">
        <v>1</v>
      </c>
      <c r="B6">
        <v>3.5</v>
      </c>
      <c r="C6">
        <v>1.5</v>
      </c>
      <c r="D6">
        <v>4</v>
      </c>
      <c r="E6">
        <v>6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928</v>
      </c>
    </row>
    <row r="7" spans="1:12" x14ac:dyDescent="0.3">
      <c r="A7">
        <v>0.98181818181818203</v>
      </c>
      <c r="B7">
        <v>2.25</v>
      </c>
      <c r="C7">
        <v>2</v>
      </c>
      <c r="D7">
        <v>3</v>
      </c>
      <c r="E7">
        <v>5</v>
      </c>
      <c r="F7">
        <v>0.94444444444444398</v>
      </c>
      <c r="G7">
        <v>1</v>
      </c>
      <c r="H7">
        <v>1</v>
      </c>
      <c r="I7">
        <v>0.97142857142857097</v>
      </c>
      <c r="J7">
        <v>0.97777777777777797</v>
      </c>
      <c r="K7">
        <v>1</v>
      </c>
      <c r="L7">
        <v>243</v>
      </c>
    </row>
    <row r="8" spans="1:12" x14ac:dyDescent="0.3">
      <c r="A8">
        <v>0.98181818181818203</v>
      </c>
      <c r="B8">
        <v>3</v>
      </c>
      <c r="C8">
        <v>2.5</v>
      </c>
      <c r="D8">
        <v>6</v>
      </c>
      <c r="E8">
        <v>7</v>
      </c>
      <c r="F8">
        <v>1</v>
      </c>
      <c r="G8">
        <v>0.95454545454545503</v>
      </c>
      <c r="H8">
        <v>1</v>
      </c>
      <c r="I8">
        <v>1</v>
      </c>
      <c r="J8">
        <v>0.97674418604651203</v>
      </c>
      <c r="K8">
        <v>0.967741935483871</v>
      </c>
      <c r="L8">
        <v>756</v>
      </c>
    </row>
    <row r="9" spans="1:12" x14ac:dyDescent="0.3">
      <c r="A9">
        <v>0.92727272727272703</v>
      </c>
      <c r="B9">
        <v>3.75</v>
      </c>
      <c r="C9">
        <v>2.25</v>
      </c>
      <c r="D9">
        <v>6</v>
      </c>
      <c r="E9">
        <v>7</v>
      </c>
      <c r="F9">
        <v>1</v>
      </c>
      <c r="G9">
        <v>0.86363636363636398</v>
      </c>
      <c r="H9">
        <v>0.93333333333333302</v>
      </c>
      <c r="I9">
        <v>0.92307692307692302</v>
      </c>
      <c r="J9">
        <v>0.90476190476190499</v>
      </c>
      <c r="K9">
        <v>0.96551724137931005</v>
      </c>
      <c r="L9">
        <v>847</v>
      </c>
    </row>
    <row r="10" spans="1:12" x14ac:dyDescent="0.3">
      <c r="A10">
        <v>0.96363636363636396</v>
      </c>
      <c r="B10">
        <v>3.25</v>
      </c>
      <c r="C10">
        <v>2.25</v>
      </c>
      <c r="D10">
        <v>4</v>
      </c>
      <c r="E10">
        <v>5</v>
      </c>
      <c r="F10">
        <v>1</v>
      </c>
      <c r="G10">
        <v>0.95454545454545503</v>
      </c>
      <c r="H10">
        <v>0.93333333333333302</v>
      </c>
      <c r="I10">
        <v>1</v>
      </c>
      <c r="J10">
        <v>0.95454545454545503</v>
      </c>
      <c r="K10">
        <v>0.93333333333333302</v>
      </c>
      <c r="L10">
        <v>328</v>
      </c>
    </row>
    <row r="11" spans="1:12" x14ac:dyDescent="0.3">
      <c r="A11">
        <v>0.94545454545454499</v>
      </c>
      <c r="B11">
        <v>4</v>
      </c>
      <c r="C11">
        <v>1.5</v>
      </c>
      <c r="D11">
        <v>3</v>
      </c>
      <c r="E11">
        <v>4</v>
      </c>
      <c r="F11">
        <v>0.83333333333333304</v>
      </c>
      <c r="G11">
        <v>1</v>
      </c>
      <c r="H11">
        <v>1</v>
      </c>
      <c r="I11">
        <v>0.90909090909090895</v>
      </c>
      <c r="J11">
        <v>0.93617021276595702</v>
      </c>
      <c r="K11">
        <v>1</v>
      </c>
      <c r="L11">
        <v>266</v>
      </c>
    </row>
    <row r="12" spans="1:12" x14ac:dyDescent="0.3">
      <c r="A12">
        <v>0.92727272727272703</v>
      </c>
      <c r="B12">
        <v>4</v>
      </c>
      <c r="C12">
        <v>1.25</v>
      </c>
      <c r="D12">
        <v>4</v>
      </c>
      <c r="E12">
        <v>6</v>
      </c>
      <c r="F12">
        <v>1</v>
      </c>
      <c r="G12">
        <v>0.90909090909090895</v>
      </c>
      <c r="H12">
        <v>0.86666666666666703</v>
      </c>
      <c r="I12">
        <v>0.97297297297297303</v>
      </c>
      <c r="J12">
        <v>0.90909090909090895</v>
      </c>
      <c r="K12">
        <v>0.89655172413793105</v>
      </c>
      <c r="L12">
        <v>462</v>
      </c>
    </row>
    <row r="13" spans="1:12" x14ac:dyDescent="0.3">
      <c r="A13">
        <v>0.92727272727272703</v>
      </c>
      <c r="B13">
        <v>3.75</v>
      </c>
      <c r="C13">
        <v>1.25</v>
      </c>
      <c r="D13">
        <v>4</v>
      </c>
      <c r="E13">
        <v>5</v>
      </c>
      <c r="F13">
        <v>0.88888888888888895</v>
      </c>
      <c r="G13">
        <v>0.95454545454545503</v>
      </c>
      <c r="H13">
        <v>0.93333333333333302</v>
      </c>
      <c r="I13">
        <v>0.91428571428571404</v>
      </c>
      <c r="J13">
        <v>0.91304347826086996</v>
      </c>
      <c r="K13">
        <v>0.96551724137931005</v>
      </c>
      <c r="L13">
        <v>308</v>
      </c>
    </row>
    <row r="14" spans="1:12" x14ac:dyDescent="0.3">
      <c r="A14">
        <v>0.96363636363636396</v>
      </c>
      <c r="B14">
        <v>3.25</v>
      </c>
      <c r="C14">
        <v>0.25</v>
      </c>
      <c r="D14">
        <v>3</v>
      </c>
      <c r="E14">
        <v>5</v>
      </c>
      <c r="F14">
        <v>1</v>
      </c>
      <c r="G14">
        <v>0.90909090909090895</v>
      </c>
      <c r="H14">
        <v>1</v>
      </c>
      <c r="I14">
        <v>0.97297297297297303</v>
      </c>
      <c r="J14">
        <v>0.952380952380952</v>
      </c>
      <c r="K14">
        <v>0.967741935483871</v>
      </c>
      <c r="L14">
        <v>181</v>
      </c>
    </row>
    <row r="15" spans="1:12" x14ac:dyDescent="0.3">
      <c r="A15">
        <v>0.96363636363636396</v>
      </c>
      <c r="B15">
        <v>3.75</v>
      </c>
      <c r="C15">
        <v>1.25</v>
      </c>
      <c r="D15">
        <v>3</v>
      </c>
      <c r="E15">
        <v>4</v>
      </c>
      <c r="F15">
        <v>1</v>
      </c>
      <c r="G15">
        <v>0.90909090909090895</v>
      </c>
      <c r="H15">
        <v>1</v>
      </c>
      <c r="I15">
        <v>0.97297297297297303</v>
      </c>
      <c r="J15">
        <v>0.952380952380952</v>
      </c>
      <c r="K15">
        <v>0.967741935483871</v>
      </c>
      <c r="L15">
        <v>442</v>
      </c>
    </row>
    <row r="16" spans="1:12" x14ac:dyDescent="0.3">
      <c r="A16">
        <v>0.92727272727272703</v>
      </c>
      <c r="B16">
        <v>3.5</v>
      </c>
      <c r="C16">
        <v>2</v>
      </c>
      <c r="D16">
        <v>4</v>
      </c>
      <c r="E16">
        <v>5</v>
      </c>
      <c r="F16">
        <v>1</v>
      </c>
      <c r="G16">
        <v>0.86363636363636398</v>
      </c>
      <c r="H16">
        <v>0.93333333333333302</v>
      </c>
      <c r="I16">
        <v>0.97297297297297303</v>
      </c>
      <c r="J16">
        <v>0.90476190476190499</v>
      </c>
      <c r="K16">
        <v>0.90322580645161299</v>
      </c>
      <c r="L16">
        <v>41</v>
      </c>
    </row>
    <row r="17" spans="1:12" x14ac:dyDescent="0.3">
      <c r="A17">
        <v>0.96363636363636396</v>
      </c>
      <c r="B17">
        <v>2</v>
      </c>
      <c r="C17">
        <v>0.25</v>
      </c>
      <c r="D17">
        <v>3</v>
      </c>
      <c r="E17">
        <v>5</v>
      </c>
      <c r="F17">
        <v>0.94444444444444398</v>
      </c>
      <c r="G17">
        <v>0.95454545454545503</v>
      </c>
      <c r="H17">
        <v>1</v>
      </c>
      <c r="I17">
        <v>0.94444444444444398</v>
      </c>
      <c r="J17">
        <v>0.95454545454545503</v>
      </c>
      <c r="K17">
        <v>1</v>
      </c>
      <c r="L17">
        <v>51</v>
      </c>
    </row>
    <row r="18" spans="1:12" x14ac:dyDescent="0.3">
      <c r="A18">
        <v>0.94545454545454499</v>
      </c>
      <c r="B18">
        <v>3.5</v>
      </c>
      <c r="C18">
        <v>1.25</v>
      </c>
      <c r="D18">
        <v>3</v>
      </c>
      <c r="E18">
        <v>4</v>
      </c>
      <c r="F18">
        <v>1</v>
      </c>
      <c r="G18">
        <v>0.90909090909090895</v>
      </c>
      <c r="H18">
        <v>0.93333333333333302</v>
      </c>
      <c r="I18">
        <v>0.97297297297297303</v>
      </c>
      <c r="J18">
        <v>0.93023255813953498</v>
      </c>
      <c r="K18">
        <v>0.93333333333333302</v>
      </c>
      <c r="L18">
        <v>34</v>
      </c>
    </row>
    <row r="19" spans="1:12" x14ac:dyDescent="0.3">
      <c r="A19">
        <v>0.90909090909090895</v>
      </c>
      <c r="B19">
        <v>3.5</v>
      </c>
      <c r="C19">
        <v>2.5</v>
      </c>
      <c r="D19">
        <v>8</v>
      </c>
      <c r="E19">
        <v>9</v>
      </c>
      <c r="F19">
        <v>1</v>
      </c>
      <c r="G19">
        <v>0.81818181818181801</v>
      </c>
      <c r="H19">
        <v>0.93333333333333302</v>
      </c>
      <c r="I19">
        <v>0.87804878048780499</v>
      </c>
      <c r="J19">
        <v>0.9</v>
      </c>
      <c r="K19">
        <v>0.96551724137931005</v>
      </c>
      <c r="L19">
        <v>45</v>
      </c>
    </row>
    <row r="20" spans="1:12" x14ac:dyDescent="0.3">
      <c r="A20">
        <v>0.92727272727272703</v>
      </c>
      <c r="B20">
        <v>3.75</v>
      </c>
      <c r="C20">
        <v>2.25</v>
      </c>
      <c r="D20">
        <v>7</v>
      </c>
      <c r="E20">
        <v>8</v>
      </c>
      <c r="F20">
        <v>1</v>
      </c>
      <c r="G20">
        <v>0.90909090909090895</v>
      </c>
      <c r="H20">
        <v>0.86666666666666703</v>
      </c>
      <c r="I20">
        <v>0.92307692307692302</v>
      </c>
      <c r="J20">
        <v>0.952380952380952</v>
      </c>
      <c r="K20">
        <v>0.89655172413793105</v>
      </c>
      <c r="L20">
        <v>719</v>
      </c>
    </row>
    <row r="21" spans="1:12" x14ac:dyDescent="0.3">
      <c r="A21">
        <v>0.98181818181818203</v>
      </c>
      <c r="B21">
        <v>2.5</v>
      </c>
      <c r="C21">
        <v>2</v>
      </c>
      <c r="D21">
        <v>3</v>
      </c>
      <c r="E21">
        <v>5</v>
      </c>
      <c r="F21">
        <v>0.94444444444444398</v>
      </c>
      <c r="G21">
        <v>1</v>
      </c>
      <c r="H21">
        <v>1</v>
      </c>
      <c r="I21">
        <v>0.97142857142857097</v>
      </c>
      <c r="J21">
        <v>0.97777777777777797</v>
      </c>
      <c r="K21">
        <v>1</v>
      </c>
      <c r="L21">
        <v>377</v>
      </c>
    </row>
    <row r="22" spans="1:12" x14ac:dyDescent="0.3">
      <c r="A22">
        <v>0.90909090909090895</v>
      </c>
      <c r="B22">
        <v>3.25</v>
      </c>
      <c r="C22">
        <v>2.25</v>
      </c>
      <c r="D22">
        <v>3</v>
      </c>
      <c r="E22">
        <v>4</v>
      </c>
      <c r="F22">
        <v>0.77777777777777801</v>
      </c>
      <c r="G22">
        <v>1</v>
      </c>
      <c r="H22">
        <v>0.93333333333333302</v>
      </c>
      <c r="I22">
        <v>0.875</v>
      </c>
      <c r="J22">
        <v>0.89795918367346905</v>
      </c>
      <c r="K22">
        <v>0.96551724137931005</v>
      </c>
      <c r="L22">
        <v>212</v>
      </c>
    </row>
    <row r="23" spans="1:12" x14ac:dyDescent="0.3">
      <c r="A23">
        <v>0.96363636363636396</v>
      </c>
      <c r="B23">
        <v>3.25</v>
      </c>
      <c r="C23">
        <v>2.25</v>
      </c>
      <c r="D23">
        <v>4</v>
      </c>
      <c r="E23">
        <v>5</v>
      </c>
      <c r="F23">
        <v>1</v>
      </c>
      <c r="G23">
        <v>0.95454545454545503</v>
      </c>
      <c r="H23">
        <v>0.93333333333333302</v>
      </c>
      <c r="I23">
        <v>1</v>
      </c>
      <c r="J23">
        <v>0.95454545454545503</v>
      </c>
      <c r="K23">
        <v>0.93333333333333302</v>
      </c>
      <c r="L23">
        <v>883</v>
      </c>
    </row>
    <row r="24" spans="1:12" x14ac:dyDescent="0.3">
      <c r="A24">
        <v>0.90909090909090895</v>
      </c>
      <c r="B24">
        <v>3.25</v>
      </c>
      <c r="C24">
        <v>2.25</v>
      </c>
      <c r="D24">
        <v>4</v>
      </c>
      <c r="E24">
        <v>5</v>
      </c>
      <c r="F24">
        <v>1</v>
      </c>
      <c r="G24">
        <v>0.95454545454545503</v>
      </c>
      <c r="H24">
        <v>0.73333333333333295</v>
      </c>
      <c r="I24">
        <v>1</v>
      </c>
      <c r="J24">
        <v>0.89361702127659604</v>
      </c>
      <c r="K24">
        <v>0.81481481481481499</v>
      </c>
      <c r="L24">
        <v>379</v>
      </c>
    </row>
    <row r="25" spans="1:12" x14ac:dyDescent="0.3">
      <c r="A25">
        <v>0.94545454545454499</v>
      </c>
      <c r="B25">
        <v>4</v>
      </c>
      <c r="C25">
        <v>1.25</v>
      </c>
      <c r="D25">
        <v>3</v>
      </c>
      <c r="E25">
        <v>5</v>
      </c>
      <c r="F25">
        <v>0.94444444444444398</v>
      </c>
      <c r="G25">
        <v>1</v>
      </c>
      <c r="H25">
        <v>0.86666666666666703</v>
      </c>
      <c r="I25">
        <v>0.97142857142857097</v>
      </c>
      <c r="J25">
        <v>0.93617021276595702</v>
      </c>
      <c r="K25">
        <v>0.92857142857142905</v>
      </c>
      <c r="L25">
        <v>821</v>
      </c>
    </row>
    <row r="26" spans="1:12" x14ac:dyDescent="0.3">
      <c r="A26">
        <v>0.96363636363636396</v>
      </c>
      <c r="B26">
        <v>3.5</v>
      </c>
      <c r="C26">
        <v>0.25</v>
      </c>
      <c r="D26">
        <v>3</v>
      </c>
      <c r="E26">
        <v>5</v>
      </c>
      <c r="F26">
        <v>1</v>
      </c>
      <c r="G26">
        <v>0.90909090909090895</v>
      </c>
      <c r="H26">
        <v>1</v>
      </c>
      <c r="I26">
        <v>0.97297297297297303</v>
      </c>
      <c r="J26">
        <v>0.952380952380952</v>
      </c>
      <c r="K26">
        <v>0.967741935483871</v>
      </c>
      <c r="L26">
        <v>332</v>
      </c>
    </row>
    <row r="27" spans="1:12" x14ac:dyDescent="0.3">
      <c r="A27">
        <v>0.92727272727272703</v>
      </c>
      <c r="B27">
        <v>3.5</v>
      </c>
      <c r="C27">
        <v>2.5</v>
      </c>
      <c r="D27">
        <v>7</v>
      </c>
      <c r="E27">
        <v>8</v>
      </c>
      <c r="F27">
        <v>1</v>
      </c>
      <c r="G27">
        <v>0.86363636363636398</v>
      </c>
      <c r="H27">
        <v>0.93333333333333302</v>
      </c>
      <c r="I27">
        <v>0.94736842105263197</v>
      </c>
      <c r="J27">
        <v>0.90476190476190499</v>
      </c>
      <c r="K27">
        <v>0.93333333333333302</v>
      </c>
      <c r="L27">
        <v>712</v>
      </c>
    </row>
    <row r="28" spans="1:12" x14ac:dyDescent="0.3">
      <c r="A28">
        <v>0.85454545454545405</v>
      </c>
      <c r="B28">
        <v>1.5</v>
      </c>
      <c r="C28">
        <v>0.5</v>
      </c>
      <c r="D28">
        <v>5</v>
      </c>
      <c r="E28">
        <v>7</v>
      </c>
      <c r="F28">
        <v>1</v>
      </c>
      <c r="G28">
        <v>0.72727272727272696</v>
      </c>
      <c r="H28">
        <v>0.86666666666666703</v>
      </c>
      <c r="I28">
        <v>0.94736842105263197</v>
      </c>
      <c r="J28">
        <v>0.8</v>
      </c>
      <c r="K28">
        <v>0.8125</v>
      </c>
      <c r="L28">
        <v>348</v>
      </c>
    </row>
    <row r="29" spans="1:12" x14ac:dyDescent="0.3">
      <c r="A29">
        <v>0.94545454545454499</v>
      </c>
      <c r="B29">
        <v>3.5</v>
      </c>
      <c r="C29">
        <v>1.5</v>
      </c>
      <c r="D29">
        <v>4</v>
      </c>
      <c r="E29">
        <v>5</v>
      </c>
      <c r="F29">
        <v>1</v>
      </c>
      <c r="G29">
        <v>0.90909090909090895</v>
      </c>
      <c r="H29">
        <v>0.93333333333333302</v>
      </c>
      <c r="I29">
        <v>0.97297297297297303</v>
      </c>
      <c r="J29">
        <v>0.93023255813953498</v>
      </c>
      <c r="K29">
        <v>0.93333333333333302</v>
      </c>
      <c r="L29">
        <v>660</v>
      </c>
    </row>
    <row r="30" spans="1:12" x14ac:dyDescent="0.3">
      <c r="A30">
        <v>0.92727272727272703</v>
      </c>
      <c r="B30">
        <v>3.75</v>
      </c>
      <c r="C30">
        <v>2</v>
      </c>
      <c r="D30">
        <v>3</v>
      </c>
      <c r="E30">
        <v>5</v>
      </c>
      <c r="F30">
        <v>1</v>
      </c>
      <c r="G30">
        <v>0.95454545454545503</v>
      </c>
      <c r="H30">
        <v>0.8</v>
      </c>
      <c r="I30">
        <v>0.97297297297297303</v>
      </c>
      <c r="J30">
        <v>0.91304347826086996</v>
      </c>
      <c r="K30">
        <v>0.88888888888888895</v>
      </c>
      <c r="L30">
        <v>44</v>
      </c>
    </row>
    <row r="31" spans="1:12" x14ac:dyDescent="0.3">
      <c r="A31">
        <v>0.98181818181818203</v>
      </c>
      <c r="B31">
        <v>3.75</v>
      </c>
      <c r="C31">
        <v>2</v>
      </c>
      <c r="D31">
        <v>4</v>
      </c>
      <c r="E31">
        <v>5</v>
      </c>
      <c r="F31">
        <v>1</v>
      </c>
      <c r="G31">
        <v>0.95454545454545503</v>
      </c>
      <c r="H31">
        <v>1</v>
      </c>
      <c r="I31">
        <v>1</v>
      </c>
      <c r="J31">
        <v>0.97674418604651203</v>
      </c>
      <c r="K31">
        <v>0.967741935483871</v>
      </c>
      <c r="L31">
        <v>560</v>
      </c>
    </row>
    <row r="32" spans="1:12" x14ac:dyDescent="0.3">
      <c r="A32">
        <v>0.89090909090909098</v>
      </c>
      <c r="B32">
        <v>3.25</v>
      </c>
      <c r="C32">
        <v>2.25</v>
      </c>
      <c r="D32">
        <v>4</v>
      </c>
      <c r="E32">
        <v>5</v>
      </c>
      <c r="F32">
        <v>1</v>
      </c>
      <c r="G32">
        <v>0.86363636363636398</v>
      </c>
      <c r="H32">
        <v>0.8</v>
      </c>
      <c r="I32">
        <v>0.94736842105263197</v>
      </c>
      <c r="J32">
        <v>0.88372093023255804</v>
      </c>
      <c r="K32">
        <v>0.82758620689655205</v>
      </c>
      <c r="L32">
        <v>224</v>
      </c>
    </row>
    <row r="33" spans="1:12" x14ac:dyDescent="0.3">
      <c r="A33">
        <v>0.89090909090909098</v>
      </c>
      <c r="B33">
        <v>3.5</v>
      </c>
      <c r="C33">
        <v>2.5</v>
      </c>
      <c r="D33">
        <v>11</v>
      </c>
      <c r="E33">
        <v>12</v>
      </c>
      <c r="F33">
        <v>0.94444444444444398</v>
      </c>
      <c r="G33">
        <v>0.81818181818181801</v>
      </c>
      <c r="H33">
        <v>0.93333333333333302</v>
      </c>
      <c r="I33">
        <v>0.89473684210526305</v>
      </c>
      <c r="J33">
        <v>0.87804878048780499</v>
      </c>
      <c r="K33">
        <v>0.90322580645161299</v>
      </c>
      <c r="L33">
        <v>728</v>
      </c>
    </row>
    <row r="34" spans="1:12" x14ac:dyDescent="0.3">
      <c r="A34">
        <v>0.96363636363636396</v>
      </c>
      <c r="B34">
        <v>3.75</v>
      </c>
      <c r="C34">
        <v>2</v>
      </c>
      <c r="D34">
        <v>4</v>
      </c>
      <c r="E34">
        <v>5</v>
      </c>
      <c r="F34">
        <v>1</v>
      </c>
      <c r="G34">
        <v>0.95454545454545503</v>
      </c>
      <c r="H34">
        <v>0.93333333333333302</v>
      </c>
      <c r="I34">
        <v>1</v>
      </c>
      <c r="J34">
        <v>0.95454545454545503</v>
      </c>
      <c r="K34">
        <v>0.93333333333333302</v>
      </c>
      <c r="L34">
        <v>822</v>
      </c>
    </row>
    <row r="35" spans="1:12" x14ac:dyDescent="0.3">
      <c r="A35">
        <v>0.94545454545454499</v>
      </c>
      <c r="B35">
        <v>3.75</v>
      </c>
      <c r="C35">
        <v>1.5</v>
      </c>
      <c r="D35">
        <v>4</v>
      </c>
      <c r="E35">
        <v>6</v>
      </c>
      <c r="F35">
        <v>1</v>
      </c>
      <c r="G35">
        <v>1</v>
      </c>
      <c r="H35">
        <v>0.8</v>
      </c>
      <c r="I35">
        <v>1</v>
      </c>
      <c r="J35">
        <v>0.93617021276595702</v>
      </c>
      <c r="K35">
        <v>0.88888888888888895</v>
      </c>
      <c r="L35">
        <v>551</v>
      </c>
    </row>
    <row r="36" spans="1:12" x14ac:dyDescent="0.3">
      <c r="A36">
        <v>0.96363636363636396</v>
      </c>
      <c r="B36">
        <v>1.25</v>
      </c>
      <c r="C36">
        <v>0.25</v>
      </c>
      <c r="D36">
        <v>4</v>
      </c>
      <c r="E36">
        <v>6</v>
      </c>
      <c r="F36">
        <v>1</v>
      </c>
      <c r="G36">
        <v>1</v>
      </c>
      <c r="H36">
        <v>0.86666666666666703</v>
      </c>
      <c r="I36">
        <v>1</v>
      </c>
      <c r="J36">
        <v>0.95652173913043503</v>
      </c>
      <c r="K36">
        <v>0.92857142857142905</v>
      </c>
      <c r="L36">
        <v>102</v>
      </c>
    </row>
    <row r="37" spans="1:12" x14ac:dyDescent="0.3">
      <c r="A37">
        <v>0.96363636363636396</v>
      </c>
      <c r="B37">
        <v>3.75</v>
      </c>
      <c r="C37">
        <v>1.25</v>
      </c>
      <c r="D37">
        <v>3</v>
      </c>
      <c r="E37">
        <v>4</v>
      </c>
      <c r="F37">
        <v>1</v>
      </c>
      <c r="G37">
        <v>0.90909090909090895</v>
      </c>
      <c r="H37">
        <v>1</v>
      </c>
      <c r="I37">
        <v>0.97297297297297303</v>
      </c>
      <c r="J37">
        <v>0.952380952380952</v>
      </c>
      <c r="K37">
        <v>0.967741935483871</v>
      </c>
      <c r="L37">
        <v>304</v>
      </c>
    </row>
    <row r="38" spans="1:12" x14ac:dyDescent="0.3">
      <c r="A38">
        <v>0.90909090909090895</v>
      </c>
      <c r="B38">
        <v>4</v>
      </c>
      <c r="C38">
        <v>2</v>
      </c>
      <c r="D38">
        <v>4</v>
      </c>
      <c r="E38">
        <v>5</v>
      </c>
      <c r="F38">
        <v>1</v>
      </c>
      <c r="G38">
        <v>0.86363636363636398</v>
      </c>
      <c r="H38">
        <v>0.86666666666666703</v>
      </c>
      <c r="I38">
        <v>0.9</v>
      </c>
      <c r="J38">
        <v>0.92682926829268297</v>
      </c>
      <c r="K38">
        <v>0.89655172413793105</v>
      </c>
      <c r="L38">
        <v>975</v>
      </c>
    </row>
    <row r="39" spans="1:12" x14ac:dyDescent="0.3">
      <c r="A39">
        <v>0.87272727272727302</v>
      </c>
      <c r="B39">
        <v>2.5</v>
      </c>
      <c r="C39">
        <v>2</v>
      </c>
      <c r="D39">
        <v>3</v>
      </c>
      <c r="E39">
        <v>4</v>
      </c>
      <c r="F39">
        <v>0.94444444444444398</v>
      </c>
      <c r="G39">
        <v>0.95454545454545503</v>
      </c>
      <c r="H39">
        <v>0.66666666666666696</v>
      </c>
      <c r="I39">
        <v>0.94444444444444398</v>
      </c>
      <c r="J39">
        <v>0.875</v>
      </c>
      <c r="K39">
        <v>0.76923076923076905</v>
      </c>
      <c r="L39">
        <v>518</v>
      </c>
    </row>
    <row r="40" spans="1:12" x14ac:dyDescent="0.3">
      <c r="A40">
        <v>0.90909090909090895</v>
      </c>
      <c r="B40">
        <v>4</v>
      </c>
      <c r="C40">
        <v>2</v>
      </c>
      <c r="D40">
        <v>4</v>
      </c>
      <c r="E40">
        <v>5</v>
      </c>
      <c r="F40">
        <v>0.94444444444444398</v>
      </c>
      <c r="G40">
        <v>0.86363636363636398</v>
      </c>
      <c r="H40">
        <v>0.93333333333333302</v>
      </c>
      <c r="I40">
        <v>0.94444444444444398</v>
      </c>
      <c r="J40">
        <v>0.88372093023255804</v>
      </c>
      <c r="K40">
        <v>0.90322580645161299</v>
      </c>
      <c r="L40">
        <v>208</v>
      </c>
    </row>
    <row r="41" spans="1:12" x14ac:dyDescent="0.3">
      <c r="A41">
        <v>0.96363636363636396</v>
      </c>
      <c r="B41">
        <v>4</v>
      </c>
      <c r="C41">
        <v>2</v>
      </c>
      <c r="D41">
        <v>6</v>
      </c>
      <c r="E41">
        <v>7</v>
      </c>
      <c r="F41">
        <v>1</v>
      </c>
      <c r="G41">
        <v>0.90909090909090895</v>
      </c>
      <c r="H41">
        <v>1</v>
      </c>
      <c r="I41">
        <v>1</v>
      </c>
      <c r="J41">
        <v>0.952380952380952</v>
      </c>
      <c r="K41">
        <v>0.9375</v>
      </c>
      <c r="L41">
        <v>590</v>
      </c>
    </row>
    <row r="42" spans="1:12" x14ac:dyDescent="0.3">
      <c r="A42">
        <v>0.85454545454545405</v>
      </c>
      <c r="B42">
        <v>1.5</v>
      </c>
      <c r="C42">
        <v>0.75</v>
      </c>
      <c r="D42">
        <v>4</v>
      </c>
      <c r="E42">
        <v>6</v>
      </c>
      <c r="F42">
        <v>0.94444444444444398</v>
      </c>
      <c r="G42">
        <v>0.81818181818181801</v>
      </c>
      <c r="H42">
        <v>0.8</v>
      </c>
      <c r="I42">
        <v>0.91891891891891897</v>
      </c>
      <c r="J42">
        <v>0.81818181818181801</v>
      </c>
      <c r="K42">
        <v>0.82758620689655205</v>
      </c>
      <c r="L42">
        <v>438</v>
      </c>
    </row>
    <row r="43" spans="1:12" x14ac:dyDescent="0.3">
      <c r="A43">
        <v>0.89090909090909098</v>
      </c>
      <c r="B43">
        <v>3.75</v>
      </c>
      <c r="C43">
        <v>2</v>
      </c>
      <c r="D43">
        <v>4</v>
      </c>
      <c r="E43">
        <v>5</v>
      </c>
      <c r="F43">
        <v>1</v>
      </c>
      <c r="G43">
        <v>0.90909090909090895</v>
      </c>
      <c r="H43">
        <v>0.73333333333333295</v>
      </c>
      <c r="I43">
        <v>0.97297297297297303</v>
      </c>
      <c r="J43">
        <v>0.88888888888888895</v>
      </c>
      <c r="K43">
        <v>0.78571428571428603</v>
      </c>
      <c r="L43">
        <v>382</v>
      </c>
    </row>
    <row r="44" spans="1:12" x14ac:dyDescent="0.3">
      <c r="A44">
        <v>0.98181818181818203</v>
      </c>
      <c r="B44">
        <v>3</v>
      </c>
      <c r="C44">
        <v>2.5</v>
      </c>
      <c r="D44">
        <v>6</v>
      </c>
      <c r="E44">
        <v>7</v>
      </c>
      <c r="F44">
        <v>1</v>
      </c>
      <c r="G44">
        <v>1</v>
      </c>
      <c r="H44">
        <v>0.93333333333333302</v>
      </c>
      <c r="I44">
        <v>0.97297297297297303</v>
      </c>
      <c r="J44">
        <v>1</v>
      </c>
      <c r="K44">
        <v>0.96551724137931005</v>
      </c>
      <c r="L44">
        <v>931</v>
      </c>
    </row>
    <row r="45" spans="1:12" x14ac:dyDescent="0.3">
      <c r="A45">
        <v>0.94545454545454499</v>
      </c>
      <c r="B45">
        <v>2.25</v>
      </c>
      <c r="C45">
        <v>1.5</v>
      </c>
      <c r="D45">
        <v>3</v>
      </c>
      <c r="E45">
        <v>5</v>
      </c>
      <c r="F45">
        <v>1</v>
      </c>
      <c r="G45">
        <v>0.86363636363636398</v>
      </c>
      <c r="H45">
        <v>1</v>
      </c>
      <c r="I45">
        <v>0.94736842105263197</v>
      </c>
      <c r="J45">
        <v>0.92682926829268297</v>
      </c>
      <c r="K45">
        <v>0.967741935483871</v>
      </c>
      <c r="L45">
        <v>342</v>
      </c>
    </row>
    <row r="46" spans="1:12" x14ac:dyDescent="0.3">
      <c r="A46">
        <v>0.90909090909090895</v>
      </c>
      <c r="B46">
        <v>3.75</v>
      </c>
      <c r="C46">
        <v>2</v>
      </c>
      <c r="D46">
        <v>4</v>
      </c>
      <c r="E46">
        <v>5</v>
      </c>
      <c r="F46">
        <v>0.88888888888888895</v>
      </c>
      <c r="G46">
        <v>0.95454545454545503</v>
      </c>
      <c r="H46">
        <v>0.86666666666666703</v>
      </c>
      <c r="I46">
        <v>0.91428571428571404</v>
      </c>
      <c r="J46">
        <v>0.89361702127659604</v>
      </c>
      <c r="K46">
        <v>0.92857142857142905</v>
      </c>
      <c r="L46">
        <v>318</v>
      </c>
    </row>
    <row r="47" spans="1:12" x14ac:dyDescent="0.3">
      <c r="A47">
        <v>0.94545454545454499</v>
      </c>
      <c r="B47">
        <v>3.75</v>
      </c>
      <c r="C47">
        <v>1.5</v>
      </c>
      <c r="D47">
        <v>4</v>
      </c>
      <c r="E47">
        <v>6</v>
      </c>
      <c r="F47">
        <v>1</v>
      </c>
      <c r="G47">
        <v>0.95454545454545503</v>
      </c>
      <c r="H47">
        <v>0.86666666666666703</v>
      </c>
      <c r="I47">
        <v>0.97297297297297303</v>
      </c>
      <c r="J47">
        <v>0.93333333333333302</v>
      </c>
      <c r="K47">
        <v>0.92857142857142905</v>
      </c>
      <c r="L47">
        <v>835</v>
      </c>
    </row>
    <row r="48" spans="1:12" x14ac:dyDescent="0.3">
      <c r="A48">
        <v>0.92727272727272703</v>
      </c>
      <c r="B48">
        <v>2.25</v>
      </c>
      <c r="C48">
        <v>0.5</v>
      </c>
      <c r="D48">
        <v>3</v>
      </c>
      <c r="E48">
        <v>5</v>
      </c>
      <c r="F48">
        <v>1</v>
      </c>
      <c r="G48">
        <v>0.86363636363636398</v>
      </c>
      <c r="H48">
        <v>0.93333333333333302</v>
      </c>
      <c r="I48">
        <v>0.92307692307692302</v>
      </c>
      <c r="J48">
        <v>0.90476190476190499</v>
      </c>
      <c r="K48">
        <v>0.96551724137931005</v>
      </c>
      <c r="L48">
        <v>202</v>
      </c>
    </row>
    <row r="49" spans="1:12" x14ac:dyDescent="0.3">
      <c r="A49">
        <v>0.92727272727272703</v>
      </c>
      <c r="B49">
        <v>4</v>
      </c>
      <c r="C49">
        <v>2</v>
      </c>
      <c r="D49">
        <v>5</v>
      </c>
      <c r="E49">
        <v>6</v>
      </c>
      <c r="F49">
        <v>0.94444444444444398</v>
      </c>
      <c r="G49">
        <v>0.90909090909090895</v>
      </c>
      <c r="H49">
        <v>0.93333333333333302</v>
      </c>
      <c r="I49">
        <v>0.94444444444444398</v>
      </c>
      <c r="J49">
        <v>0.90909090909090895</v>
      </c>
      <c r="K49">
        <v>0.93333333333333302</v>
      </c>
      <c r="L49">
        <v>108</v>
      </c>
    </row>
    <row r="50" spans="1:12" x14ac:dyDescent="0.3">
      <c r="A50">
        <v>0.96363636363636396</v>
      </c>
      <c r="B50">
        <v>3.75</v>
      </c>
      <c r="C50">
        <v>2</v>
      </c>
      <c r="D50">
        <v>3</v>
      </c>
      <c r="E50">
        <v>5</v>
      </c>
      <c r="F50">
        <v>1</v>
      </c>
      <c r="G50">
        <v>0.95454545454545503</v>
      </c>
      <c r="H50">
        <v>0.93333333333333302</v>
      </c>
      <c r="I50">
        <v>0.97297297297297303</v>
      </c>
      <c r="J50">
        <v>0.95454545454545503</v>
      </c>
      <c r="K50">
        <v>0.96551724137931005</v>
      </c>
      <c r="L50">
        <v>193</v>
      </c>
    </row>
    <row r="51" spans="1:12" x14ac:dyDescent="0.3">
      <c r="A51">
        <v>0.90909090909090895</v>
      </c>
      <c r="B51">
        <v>3</v>
      </c>
      <c r="C51">
        <v>1.25</v>
      </c>
      <c r="D51">
        <v>4</v>
      </c>
      <c r="E51">
        <v>5</v>
      </c>
      <c r="F51">
        <v>1</v>
      </c>
      <c r="G51">
        <v>0.90909090909090895</v>
      </c>
      <c r="H51">
        <v>0.8</v>
      </c>
      <c r="I51">
        <v>0.97297297297297303</v>
      </c>
      <c r="J51">
        <v>0.88888888888888895</v>
      </c>
      <c r="K51">
        <v>0.85714285714285698</v>
      </c>
      <c r="L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1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0.92727272727272703</v>
      </c>
      <c r="B2">
        <v>3.5</v>
      </c>
      <c r="C2">
        <v>2</v>
      </c>
      <c r="D2">
        <v>3</v>
      </c>
      <c r="E2">
        <v>6</v>
      </c>
      <c r="F2">
        <v>0.94444444444444398</v>
      </c>
      <c r="G2">
        <v>0.90909090909090895</v>
      </c>
      <c r="H2">
        <v>0.93333333333333302</v>
      </c>
      <c r="I2">
        <v>0.97142857142857097</v>
      </c>
      <c r="J2">
        <v>0.90909090909090895</v>
      </c>
      <c r="K2">
        <v>0.90322580645161299</v>
      </c>
      <c r="L2">
        <v>884</v>
      </c>
    </row>
    <row r="3" spans="1:12" x14ac:dyDescent="0.3">
      <c r="A3">
        <v>0.90909090909090895</v>
      </c>
      <c r="B3">
        <v>1.25</v>
      </c>
      <c r="C3">
        <v>0.25</v>
      </c>
      <c r="D3">
        <v>3</v>
      </c>
      <c r="E3">
        <v>5</v>
      </c>
      <c r="F3">
        <v>0.88888888888888895</v>
      </c>
      <c r="G3">
        <v>0.95454545454545503</v>
      </c>
      <c r="H3">
        <v>0.86666666666666703</v>
      </c>
      <c r="I3">
        <v>0.91428571428571404</v>
      </c>
      <c r="J3">
        <v>0.89361702127659604</v>
      </c>
      <c r="K3">
        <v>0.92857142857142905</v>
      </c>
      <c r="L3">
        <v>955</v>
      </c>
    </row>
    <row r="4" spans="1:12" x14ac:dyDescent="0.3">
      <c r="A4">
        <v>0.90909090909090895</v>
      </c>
      <c r="B4">
        <v>2.25</v>
      </c>
      <c r="C4">
        <v>0.25</v>
      </c>
      <c r="D4">
        <v>3</v>
      </c>
      <c r="E4">
        <v>5</v>
      </c>
      <c r="F4">
        <v>0.94444444444444398</v>
      </c>
      <c r="G4">
        <v>0.86363636363636398</v>
      </c>
      <c r="H4">
        <v>0.93333333333333302</v>
      </c>
      <c r="I4">
        <v>0.89473684210526305</v>
      </c>
      <c r="J4">
        <v>0.88372093023255804</v>
      </c>
      <c r="K4">
        <v>0.96551724137931005</v>
      </c>
      <c r="L4">
        <v>921</v>
      </c>
    </row>
    <row r="5" spans="1:12" x14ac:dyDescent="0.3">
      <c r="A5">
        <v>0.89090909090909098</v>
      </c>
      <c r="B5">
        <v>3.75</v>
      </c>
      <c r="C5">
        <v>2.25</v>
      </c>
      <c r="D5">
        <v>3</v>
      </c>
      <c r="E5">
        <v>6</v>
      </c>
      <c r="F5">
        <v>0.94444444444444398</v>
      </c>
      <c r="G5">
        <v>0.90909090909090895</v>
      </c>
      <c r="H5">
        <v>0.8</v>
      </c>
      <c r="I5">
        <v>0.97142857142857097</v>
      </c>
      <c r="J5">
        <v>0.86956521739130399</v>
      </c>
      <c r="K5">
        <v>0.82758620689655205</v>
      </c>
      <c r="L5">
        <v>572</v>
      </c>
    </row>
    <row r="6" spans="1:12" x14ac:dyDescent="0.3">
      <c r="A6">
        <v>0.85454545454545405</v>
      </c>
      <c r="B6">
        <v>2</v>
      </c>
      <c r="C6">
        <v>1.5</v>
      </c>
      <c r="D6">
        <v>8</v>
      </c>
      <c r="E6">
        <v>10</v>
      </c>
      <c r="F6">
        <v>1</v>
      </c>
      <c r="G6">
        <v>0.72727272727272696</v>
      </c>
      <c r="H6">
        <v>0.86666666666666703</v>
      </c>
      <c r="I6">
        <v>0.85714285714285698</v>
      </c>
      <c r="J6">
        <v>0.82051282051282004</v>
      </c>
      <c r="K6">
        <v>0.89655172413793105</v>
      </c>
      <c r="L6">
        <v>928</v>
      </c>
    </row>
    <row r="7" spans="1:12" x14ac:dyDescent="0.3">
      <c r="A7">
        <v>0.89090909090909098</v>
      </c>
      <c r="B7">
        <v>2</v>
      </c>
      <c r="C7">
        <v>0.25</v>
      </c>
      <c r="D7">
        <v>3</v>
      </c>
      <c r="E7">
        <v>6</v>
      </c>
      <c r="F7">
        <v>0.94444444444444398</v>
      </c>
      <c r="G7">
        <v>0.95454545454545503</v>
      </c>
      <c r="H7">
        <v>0.73333333333333295</v>
      </c>
      <c r="I7">
        <v>0.91891891891891897</v>
      </c>
      <c r="J7">
        <v>0.89361702127659604</v>
      </c>
      <c r="K7">
        <v>0.84615384615384603</v>
      </c>
      <c r="L7">
        <v>243</v>
      </c>
    </row>
    <row r="8" spans="1:12" x14ac:dyDescent="0.3">
      <c r="A8">
        <v>0.94545454545454499</v>
      </c>
      <c r="B8">
        <v>2</v>
      </c>
      <c r="C8">
        <v>0.25</v>
      </c>
      <c r="D8">
        <v>3</v>
      </c>
      <c r="E8">
        <v>5</v>
      </c>
      <c r="F8">
        <v>0.94444444444444398</v>
      </c>
      <c r="G8">
        <v>1</v>
      </c>
      <c r="H8">
        <v>0.86666666666666703</v>
      </c>
      <c r="I8">
        <v>0.97142857142857097</v>
      </c>
      <c r="J8">
        <v>0.93617021276595702</v>
      </c>
      <c r="K8">
        <v>0.92857142857142905</v>
      </c>
      <c r="L8">
        <v>756</v>
      </c>
    </row>
    <row r="9" spans="1:12" x14ac:dyDescent="0.3">
      <c r="A9">
        <v>0.85454545454545405</v>
      </c>
      <c r="B9">
        <v>1.25</v>
      </c>
      <c r="C9">
        <v>1.5</v>
      </c>
      <c r="D9">
        <v>4</v>
      </c>
      <c r="E9">
        <v>8</v>
      </c>
      <c r="F9">
        <v>1</v>
      </c>
      <c r="G9">
        <v>0.86363636363636398</v>
      </c>
      <c r="H9">
        <v>0.66666666666666696</v>
      </c>
      <c r="I9">
        <v>0.9</v>
      </c>
      <c r="J9">
        <v>0.86363636363636398</v>
      </c>
      <c r="K9">
        <v>0.76923076923076905</v>
      </c>
      <c r="L9">
        <v>847</v>
      </c>
    </row>
    <row r="10" spans="1:12" x14ac:dyDescent="0.3">
      <c r="A10">
        <v>0.92727272727272703</v>
      </c>
      <c r="B10">
        <v>1.5</v>
      </c>
      <c r="C10">
        <v>0.25</v>
      </c>
      <c r="D10">
        <v>3</v>
      </c>
      <c r="E10">
        <v>5</v>
      </c>
      <c r="F10">
        <v>1</v>
      </c>
      <c r="G10">
        <v>0.86363636363636398</v>
      </c>
      <c r="H10">
        <v>0.93333333333333302</v>
      </c>
      <c r="I10">
        <v>0.92307692307692302</v>
      </c>
      <c r="J10">
        <v>0.92682926829268297</v>
      </c>
      <c r="K10">
        <v>0.93333333333333302</v>
      </c>
      <c r="L10">
        <v>328</v>
      </c>
    </row>
    <row r="11" spans="1:12" x14ac:dyDescent="0.3">
      <c r="A11">
        <v>0.90909090909090895</v>
      </c>
      <c r="B11">
        <v>0.25</v>
      </c>
      <c r="C11">
        <v>1.25</v>
      </c>
      <c r="D11">
        <v>4</v>
      </c>
      <c r="E11">
        <v>5</v>
      </c>
      <c r="F11">
        <v>0.88888888888888895</v>
      </c>
      <c r="G11">
        <v>0.90909090909090895</v>
      </c>
      <c r="H11">
        <v>0.93333333333333302</v>
      </c>
      <c r="I11">
        <v>0.88888888888888895</v>
      </c>
      <c r="J11">
        <v>0.88888888888888895</v>
      </c>
      <c r="K11">
        <v>0.96551724137931005</v>
      </c>
      <c r="L11">
        <v>266</v>
      </c>
    </row>
    <row r="12" spans="1:12" x14ac:dyDescent="0.3">
      <c r="A12">
        <v>0.96363636363636396</v>
      </c>
      <c r="B12">
        <v>2</v>
      </c>
      <c r="C12">
        <v>0.25</v>
      </c>
      <c r="D12">
        <v>4</v>
      </c>
      <c r="E12">
        <v>6</v>
      </c>
      <c r="F12">
        <v>1</v>
      </c>
      <c r="G12">
        <v>0.90909090909090895</v>
      </c>
      <c r="H12">
        <v>1</v>
      </c>
      <c r="I12">
        <v>1</v>
      </c>
      <c r="J12">
        <v>0.952380952380952</v>
      </c>
      <c r="K12">
        <v>0.9375</v>
      </c>
      <c r="L12">
        <v>462</v>
      </c>
    </row>
    <row r="13" spans="1:12" x14ac:dyDescent="0.3">
      <c r="A13">
        <v>0.83636363636363598</v>
      </c>
      <c r="B13">
        <v>2</v>
      </c>
      <c r="C13">
        <v>0.25</v>
      </c>
      <c r="D13">
        <v>4</v>
      </c>
      <c r="E13">
        <v>7</v>
      </c>
      <c r="F13">
        <v>1</v>
      </c>
      <c r="G13">
        <v>0.77272727272727304</v>
      </c>
      <c r="H13">
        <v>0.73333333333333295</v>
      </c>
      <c r="I13">
        <v>0.87804878048780499</v>
      </c>
      <c r="J13">
        <v>0.82926829268292701</v>
      </c>
      <c r="K13">
        <v>0.78571428571428603</v>
      </c>
      <c r="L13">
        <v>308</v>
      </c>
    </row>
    <row r="14" spans="1:12" x14ac:dyDescent="0.3">
      <c r="A14">
        <v>0.89090909090909098</v>
      </c>
      <c r="B14">
        <v>1.5</v>
      </c>
      <c r="C14">
        <v>0.25</v>
      </c>
      <c r="D14">
        <v>3</v>
      </c>
      <c r="E14">
        <v>5</v>
      </c>
      <c r="F14">
        <v>1</v>
      </c>
      <c r="G14">
        <v>0.86363636363636398</v>
      </c>
      <c r="H14">
        <v>0.8</v>
      </c>
      <c r="I14">
        <v>0.94736842105263197</v>
      </c>
      <c r="J14">
        <v>0.88372093023255804</v>
      </c>
      <c r="K14">
        <v>0.82758620689655205</v>
      </c>
      <c r="L14">
        <v>181</v>
      </c>
    </row>
    <row r="15" spans="1:12" x14ac:dyDescent="0.3">
      <c r="A15">
        <v>0.96363636363636396</v>
      </c>
      <c r="B15">
        <v>1.5</v>
      </c>
      <c r="C15">
        <v>0.25</v>
      </c>
      <c r="D15">
        <v>3</v>
      </c>
      <c r="E15">
        <v>5</v>
      </c>
      <c r="F15">
        <v>1</v>
      </c>
      <c r="G15">
        <v>0.90909090909090895</v>
      </c>
      <c r="H15">
        <v>1</v>
      </c>
      <c r="I15">
        <v>0.97297297297297303</v>
      </c>
      <c r="J15">
        <v>0.952380952380952</v>
      </c>
      <c r="K15">
        <v>0.967741935483871</v>
      </c>
      <c r="L15">
        <v>442</v>
      </c>
    </row>
    <row r="16" spans="1:12" x14ac:dyDescent="0.3">
      <c r="A16">
        <v>0.90909090909090895</v>
      </c>
      <c r="B16">
        <v>3.5</v>
      </c>
      <c r="C16">
        <v>0.5</v>
      </c>
      <c r="D16">
        <v>4</v>
      </c>
      <c r="E16">
        <v>6</v>
      </c>
      <c r="F16">
        <v>1</v>
      </c>
      <c r="G16">
        <v>0.81818181818181801</v>
      </c>
      <c r="H16">
        <v>0.93333333333333302</v>
      </c>
      <c r="I16">
        <v>1</v>
      </c>
      <c r="J16">
        <v>0.87804878048780499</v>
      </c>
      <c r="K16">
        <v>0.84848484848484895</v>
      </c>
      <c r="L16">
        <v>41</v>
      </c>
    </row>
    <row r="17" spans="1:12" x14ac:dyDescent="0.3">
      <c r="A17">
        <v>0.90909090909090895</v>
      </c>
      <c r="B17">
        <v>1.5</v>
      </c>
      <c r="C17">
        <v>0.5</v>
      </c>
      <c r="D17">
        <v>3</v>
      </c>
      <c r="E17">
        <v>6</v>
      </c>
      <c r="F17">
        <v>0.88888888888888895</v>
      </c>
      <c r="G17">
        <v>0.86363636363636398</v>
      </c>
      <c r="H17">
        <v>1</v>
      </c>
      <c r="I17">
        <v>0.88888888888888895</v>
      </c>
      <c r="J17">
        <v>0.88372093023255804</v>
      </c>
      <c r="K17">
        <v>0.967741935483871</v>
      </c>
      <c r="L17">
        <v>51</v>
      </c>
    </row>
    <row r="18" spans="1:12" x14ac:dyDescent="0.3">
      <c r="A18">
        <v>0.94545454545454499</v>
      </c>
      <c r="B18">
        <v>2</v>
      </c>
      <c r="C18">
        <v>0.25</v>
      </c>
      <c r="D18">
        <v>3</v>
      </c>
      <c r="E18">
        <v>5</v>
      </c>
      <c r="F18">
        <v>1</v>
      </c>
      <c r="G18">
        <v>0.86363636363636398</v>
      </c>
      <c r="H18">
        <v>1</v>
      </c>
      <c r="I18">
        <v>0.94736842105263197</v>
      </c>
      <c r="J18">
        <v>0.92682926829268297</v>
      </c>
      <c r="K18">
        <v>0.967741935483871</v>
      </c>
      <c r="L18">
        <v>34</v>
      </c>
    </row>
    <row r="19" spans="1:12" x14ac:dyDescent="0.3">
      <c r="A19">
        <v>0.90909090909090895</v>
      </c>
      <c r="B19">
        <v>2.25</v>
      </c>
      <c r="C19">
        <v>0.25</v>
      </c>
      <c r="D19">
        <v>4</v>
      </c>
      <c r="E19">
        <v>6</v>
      </c>
      <c r="F19">
        <v>1</v>
      </c>
      <c r="G19">
        <v>0.86363636363636398</v>
      </c>
      <c r="H19">
        <v>0.86666666666666703</v>
      </c>
      <c r="I19">
        <v>0.92307692307692302</v>
      </c>
      <c r="J19">
        <v>0.88372093023255804</v>
      </c>
      <c r="K19">
        <v>0.92857142857142905</v>
      </c>
      <c r="L19">
        <v>45</v>
      </c>
    </row>
    <row r="20" spans="1:12" x14ac:dyDescent="0.3">
      <c r="A20">
        <v>0.94545454545454499</v>
      </c>
      <c r="B20">
        <v>2</v>
      </c>
      <c r="C20">
        <v>0.25</v>
      </c>
      <c r="D20">
        <v>3</v>
      </c>
      <c r="E20">
        <v>5</v>
      </c>
      <c r="F20">
        <v>1</v>
      </c>
      <c r="G20">
        <v>0.90909090909090895</v>
      </c>
      <c r="H20">
        <v>0.93333333333333302</v>
      </c>
      <c r="I20">
        <v>0.97297297297297303</v>
      </c>
      <c r="J20">
        <v>0.93023255813953498</v>
      </c>
      <c r="K20">
        <v>0.93333333333333302</v>
      </c>
      <c r="L20">
        <v>719</v>
      </c>
    </row>
    <row r="21" spans="1:12" x14ac:dyDescent="0.3">
      <c r="A21">
        <v>0.92727272727272703</v>
      </c>
      <c r="B21">
        <v>1.5</v>
      </c>
      <c r="C21">
        <v>0.25</v>
      </c>
      <c r="D21">
        <v>3</v>
      </c>
      <c r="E21">
        <v>5</v>
      </c>
      <c r="F21">
        <v>0.88888888888888895</v>
      </c>
      <c r="G21">
        <v>0.90909090909090895</v>
      </c>
      <c r="H21">
        <v>1</v>
      </c>
      <c r="I21">
        <v>0.91428571428571404</v>
      </c>
      <c r="J21">
        <v>0.90909090909090895</v>
      </c>
      <c r="K21">
        <v>0.967741935483871</v>
      </c>
      <c r="L21">
        <v>377</v>
      </c>
    </row>
    <row r="22" spans="1:12" x14ac:dyDescent="0.3">
      <c r="A22">
        <v>0.90909090909090895</v>
      </c>
      <c r="B22">
        <v>2</v>
      </c>
      <c r="C22">
        <v>0.5</v>
      </c>
      <c r="D22">
        <v>4</v>
      </c>
      <c r="E22">
        <v>5</v>
      </c>
      <c r="F22">
        <v>0.88888888888888895</v>
      </c>
      <c r="G22">
        <v>0.95454545454545503</v>
      </c>
      <c r="H22">
        <v>0.86666666666666703</v>
      </c>
      <c r="I22">
        <v>0.94117647058823495</v>
      </c>
      <c r="J22">
        <v>0.89361702127659604</v>
      </c>
      <c r="K22">
        <v>0.89655172413793105</v>
      </c>
      <c r="L22">
        <v>212</v>
      </c>
    </row>
    <row r="23" spans="1:12" x14ac:dyDescent="0.3">
      <c r="A23">
        <v>0.87272727272727302</v>
      </c>
      <c r="B23">
        <v>2.25</v>
      </c>
      <c r="C23">
        <v>1.25</v>
      </c>
      <c r="D23">
        <v>13</v>
      </c>
      <c r="E23">
        <v>17</v>
      </c>
      <c r="F23">
        <v>1</v>
      </c>
      <c r="G23">
        <v>0.86363636363636398</v>
      </c>
      <c r="H23">
        <v>0.73333333333333295</v>
      </c>
      <c r="I23">
        <v>1</v>
      </c>
      <c r="J23">
        <v>0.844444444444444</v>
      </c>
      <c r="K23">
        <v>0.75862068965517204</v>
      </c>
      <c r="L23">
        <v>883</v>
      </c>
    </row>
    <row r="24" spans="1:12" x14ac:dyDescent="0.3">
      <c r="A24">
        <v>0.89090909090909098</v>
      </c>
      <c r="B24">
        <v>2</v>
      </c>
      <c r="C24">
        <v>0.25</v>
      </c>
      <c r="D24">
        <v>4</v>
      </c>
      <c r="E24">
        <v>6</v>
      </c>
      <c r="F24">
        <v>1</v>
      </c>
      <c r="G24">
        <v>0.90909090909090895</v>
      </c>
      <c r="H24">
        <v>0.73333333333333295</v>
      </c>
      <c r="I24">
        <v>0.97297297297297303</v>
      </c>
      <c r="J24">
        <v>0.88888888888888895</v>
      </c>
      <c r="K24">
        <v>0.78571428571428603</v>
      </c>
      <c r="L24">
        <v>379</v>
      </c>
    </row>
    <row r="25" spans="1:12" x14ac:dyDescent="0.3">
      <c r="A25">
        <v>0.92727272727272703</v>
      </c>
      <c r="B25">
        <v>2</v>
      </c>
      <c r="C25">
        <v>0.25</v>
      </c>
      <c r="D25">
        <v>3</v>
      </c>
      <c r="E25">
        <v>6</v>
      </c>
      <c r="F25">
        <v>0.88888888888888895</v>
      </c>
      <c r="G25">
        <v>0.90909090909090895</v>
      </c>
      <c r="H25">
        <v>1</v>
      </c>
      <c r="I25">
        <v>0.88888888888888895</v>
      </c>
      <c r="J25">
        <v>0.90909090909090895</v>
      </c>
      <c r="K25">
        <v>1</v>
      </c>
      <c r="L25">
        <v>821</v>
      </c>
    </row>
    <row r="26" spans="1:12" x14ac:dyDescent="0.3">
      <c r="A26">
        <v>0.96363636363636396</v>
      </c>
      <c r="B26">
        <v>3</v>
      </c>
      <c r="C26">
        <v>0.25</v>
      </c>
      <c r="D26">
        <v>3</v>
      </c>
      <c r="E26">
        <v>5</v>
      </c>
      <c r="F26">
        <v>1</v>
      </c>
      <c r="G26">
        <v>0.90909090909090895</v>
      </c>
      <c r="H26">
        <v>1</v>
      </c>
      <c r="I26">
        <v>0.97297297297297303</v>
      </c>
      <c r="J26">
        <v>0.952380952380952</v>
      </c>
      <c r="K26">
        <v>0.967741935483871</v>
      </c>
      <c r="L26">
        <v>332</v>
      </c>
    </row>
    <row r="27" spans="1:12" x14ac:dyDescent="0.3">
      <c r="A27">
        <v>0.92727272727272703</v>
      </c>
      <c r="B27">
        <v>1.25</v>
      </c>
      <c r="C27">
        <v>0.25</v>
      </c>
      <c r="D27">
        <v>3</v>
      </c>
      <c r="E27">
        <v>5</v>
      </c>
      <c r="F27">
        <v>1</v>
      </c>
      <c r="G27">
        <v>0.86363636363636398</v>
      </c>
      <c r="H27">
        <v>0.93333333333333302</v>
      </c>
      <c r="I27">
        <v>0.97297297297297303</v>
      </c>
      <c r="J27">
        <v>0.90476190476190499</v>
      </c>
      <c r="K27">
        <v>0.90322580645161299</v>
      </c>
      <c r="L27">
        <v>712</v>
      </c>
    </row>
    <row r="28" spans="1:12" x14ac:dyDescent="0.3">
      <c r="A28">
        <v>0.87272727272727302</v>
      </c>
      <c r="B28">
        <v>2</v>
      </c>
      <c r="C28">
        <v>0.5</v>
      </c>
      <c r="D28">
        <v>4</v>
      </c>
      <c r="E28">
        <v>6</v>
      </c>
      <c r="F28">
        <v>1</v>
      </c>
      <c r="G28">
        <v>0.77272727272727304</v>
      </c>
      <c r="H28">
        <v>0.86666666666666703</v>
      </c>
      <c r="I28">
        <v>0.94736842105263197</v>
      </c>
      <c r="J28">
        <v>0.85</v>
      </c>
      <c r="K28">
        <v>0.8125</v>
      </c>
      <c r="L28">
        <v>348</v>
      </c>
    </row>
    <row r="29" spans="1:12" x14ac:dyDescent="0.3">
      <c r="A29">
        <v>0.94545454545454499</v>
      </c>
      <c r="B29">
        <v>3</v>
      </c>
      <c r="C29">
        <v>0.25</v>
      </c>
      <c r="D29">
        <v>3</v>
      </c>
      <c r="E29">
        <v>5</v>
      </c>
      <c r="F29">
        <v>1</v>
      </c>
      <c r="G29">
        <v>0.90909090909090895</v>
      </c>
      <c r="H29">
        <v>0.93333333333333302</v>
      </c>
      <c r="I29">
        <v>0.97297297297297303</v>
      </c>
      <c r="J29">
        <v>0.93023255813953498</v>
      </c>
      <c r="K29">
        <v>0.93333333333333302</v>
      </c>
      <c r="L29">
        <v>660</v>
      </c>
    </row>
    <row r="30" spans="1:12" x14ac:dyDescent="0.3">
      <c r="A30">
        <v>0.96363636363636396</v>
      </c>
      <c r="B30">
        <v>1.5</v>
      </c>
      <c r="C30">
        <v>0.75</v>
      </c>
      <c r="D30">
        <v>3</v>
      </c>
      <c r="E30">
        <v>5</v>
      </c>
      <c r="F30">
        <v>1</v>
      </c>
      <c r="G30">
        <v>0.95454545454545503</v>
      </c>
      <c r="H30">
        <v>0.93333333333333302</v>
      </c>
      <c r="I30">
        <v>0.97297297297297303</v>
      </c>
      <c r="J30">
        <v>0.95454545454545503</v>
      </c>
      <c r="K30">
        <v>0.96551724137931005</v>
      </c>
      <c r="L30">
        <v>44</v>
      </c>
    </row>
    <row r="31" spans="1:12" x14ac:dyDescent="0.3">
      <c r="A31">
        <v>0.92727272727272703</v>
      </c>
      <c r="B31">
        <v>2.25</v>
      </c>
      <c r="C31">
        <v>0.25</v>
      </c>
      <c r="D31">
        <v>4</v>
      </c>
      <c r="E31">
        <v>7</v>
      </c>
      <c r="F31">
        <v>1</v>
      </c>
      <c r="G31">
        <v>0.81818181818181801</v>
      </c>
      <c r="H31">
        <v>1</v>
      </c>
      <c r="I31">
        <v>0.92307692307692302</v>
      </c>
      <c r="J31">
        <v>0.9</v>
      </c>
      <c r="K31">
        <v>0.967741935483871</v>
      </c>
      <c r="L31">
        <v>560</v>
      </c>
    </row>
    <row r="32" spans="1:12" x14ac:dyDescent="0.3">
      <c r="A32">
        <v>0.89090909090909098</v>
      </c>
      <c r="B32">
        <v>1.5</v>
      </c>
      <c r="C32">
        <v>0.25</v>
      </c>
      <c r="D32">
        <v>3</v>
      </c>
      <c r="E32">
        <v>5</v>
      </c>
      <c r="F32">
        <v>1</v>
      </c>
      <c r="G32">
        <v>0.86363636363636398</v>
      </c>
      <c r="H32">
        <v>0.8</v>
      </c>
      <c r="I32">
        <v>0.94736842105263197</v>
      </c>
      <c r="J32">
        <v>0.88372093023255804</v>
      </c>
      <c r="K32">
        <v>0.82758620689655205</v>
      </c>
      <c r="L32">
        <v>224</v>
      </c>
    </row>
    <row r="33" spans="1:12" x14ac:dyDescent="0.3">
      <c r="A33">
        <v>0.92727272727272703</v>
      </c>
      <c r="B33">
        <v>2</v>
      </c>
      <c r="C33">
        <v>0.25</v>
      </c>
      <c r="D33">
        <v>3</v>
      </c>
      <c r="E33">
        <v>6</v>
      </c>
      <c r="F33">
        <v>1</v>
      </c>
      <c r="G33">
        <v>0.90909090909090895</v>
      </c>
      <c r="H33">
        <v>0.86666666666666703</v>
      </c>
      <c r="I33">
        <v>0.97297297297297303</v>
      </c>
      <c r="J33">
        <v>0.90909090909090895</v>
      </c>
      <c r="K33">
        <v>0.89655172413793105</v>
      </c>
      <c r="L33">
        <v>728</v>
      </c>
    </row>
    <row r="34" spans="1:12" x14ac:dyDescent="0.3">
      <c r="A34">
        <v>0.89090909090909098</v>
      </c>
      <c r="B34">
        <v>1.25</v>
      </c>
      <c r="C34">
        <v>0.25</v>
      </c>
      <c r="D34">
        <v>3</v>
      </c>
      <c r="E34">
        <v>5</v>
      </c>
      <c r="F34">
        <v>1</v>
      </c>
      <c r="G34">
        <v>0.86363636363636398</v>
      </c>
      <c r="H34">
        <v>0.8</v>
      </c>
      <c r="I34">
        <v>0.97297297297297303</v>
      </c>
      <c r="J34">
        <v>0.86363636363636398</v>
      </c>
      <c r="K34">
        <v>0.82758620689655205</v>
      </c>
      <c r="L34">
        <v>822</v>
      </c>
    </row>
    <row r="35" spans="1:12" x14ac:dyDescent="0.3">
      <c r="A35">
        <v>0.92727272727272703</v>
      </c>
      <c r="B35">
        <v>1.5</v>
      </c>
      <c r="C35">
        <v>0.25</v>
      </c>
      <c r="D35">
        <v>3</v>
      </c>
      <c r="E35">
        <v>6</v>
      </c>
      <c r="F35">
        <v>1</v>
      </c>
      <c r="G35">
        <v>0.81818181818181801</v>
      </c>
      <c r="H35">
        <v>1</v>
      </c>
      <c r="I35">
        <v>0.94736842105263197</v>
      </c>
      <c r="J35">
        <v>0.9</v>
      </c>
      <c r="K35">
        <v>0.9375</v>
      </c>
      <c r="L35">
        <v>551</v>
      </c>
    </row>
    <row r="36" spans="1:12" x14ac:dyDescent="0.3">
      <c r="A36">
        <v>0.96363636363636396</v>
      </c>
      <c r="B36">
        <v>2</v>
      </c>
      <c r="C36">
        <v>0.25</v>
      </c>
      <c r="D36">
        <v>4</v>
      </c>
      <c r="E36">
        <v>6</v>
      </c>
      <c r="F36">
        <v>1</v>
      </c>
      <c r="G36">
        <v>1</v>
      </c>
      <c r="H36">
        <v>0.86666666666666703</v>
      </c>
      <c r="I36">
        <v>1</v>
      </c>
      <c r="J36">
        <v>0.95652173913043503</v>
      </c>
      <c r="K36">
        <v>0.92857142857142905</v>
      </c>
      <c r="L36">
        <v>102</v>
      </c>
    </row>
    <row r="37" spans="1:12" x14ac:dyDescent="0.3">
      <c r="A37">
        <v>0.90909090909090895</v>
      </c>
      <c r="B37">
        <v>0.75</v>
      </c>
      <c r="C37">
        <v>2</v>
      </c>
      <c r="D37">
        <v>17</v>
      </c>
      <c r="E37">
        <v>21</v>
      </c>
      <c r="F37">
        <v>0.94444444444444398</v>
      </c>
      <c r="G37">
        <v>0.86363636363636398</v>
      </c>
      <c r="H37">
        <v>0.93333333333333302</v>
      </c>
      <c r="I37">
        <v>0.94444444444444398</v>
      </c>
      <c r="J37">
        <v>0.90476190476190499</v>
      </c>
      <c r="K37">
        <v>0.875</v>
      </c>
      <c r="L37">
        <v>304</v>
      </c>
    </row>
    <row r="38" spans="1:12" x14ac:dyDescent="0.3">
      <c r="A38">
        <v>0.94545454545454499</v>
      </c>
      <c r="B38">
        <v>1.5</v>
      </c>
      <c r="C38">
        <v>0.25</v>
      </c>
      <c r="D38">
        <v>4</v>
      </c>
      <c r="E38">
        <v>7</v>
      </c>
      <c r="F38">
        <v>1</v>
      </c>
      <c r="G38">
        <v>0.90909090909090895</v>
      </c>
      <c r="H38">
        <v>0.93333333333333302</v>
      </c>
      <c r="I38">
        <v>1</v>
      </c>
      <c r="J38">
        <v>0.93023255813953498</v>
      </c>
      <c r="K38">
        <v>0.90322580645161299</v>
      </c>
      <c r="L38">
        <v>975</v>
      </c>
    </row>
    <row r="39" spans="1:12" x14ac:dyDescent="0.3">
      <c r="A39">
        <v>0.85454545454545405</v>
      </c>
      <c r="B39">
        <v>0.75</v>
      </c>
      <c r="C39">
        <v>1.25</v>
      </c>
      <c r="D39">
        <v>3</v>
      </c>
      <c r="E39">
        <v>6</v>
      </c>
      <c r="F39">
        <v>0.94444444444444398</v>
      </c>
      <c r="G39">
        <v>0.90909090909090895</v>
      </c>
      <c r="H39">
        <v>0.66666666666666696</v>
      </c>
      <c r="I39">
        <v>0.91891891891891897</v>
      </c>
      <c r="J39">
        <v>0.85106382978723405</v>
      </c>
      <c r="K39">
        <v>0.76923076923076905</v>
      </c>
      <c r="L39">
        <v>518</v>
      </c>
    </row>
    <row r="40" spans="1:12" x14ac:dyDescent="0.3">
      <c r="A40">
        <v>0.89090909090909098</v>
      </c>
      <c r="B40">
        <v>0.75</v>
      </c>
      <c r="C40">
        <v>1.25</v>
      </c>
      <c r="D40">
        <v>4</v>
      </c>
      <c r="E40">
        <v>6</v>
      </c>
      <c r="F40">
        <v>0.94444444444444398</v>
      </c>
      <c r="G40">
        <v>0.81818181818181801</v>
      </c>
      <c r="H40">
        <v>0.93333333333333302</v>
      </c>
      <c r="I40">
        <v>0.94444444444444398</v>
      </c>
      <c r="J40">
        <v>0.85714285714285698</v>
      </c>
      <c r="K40">
        <v>0.875</v>
      </c>
      <c r="L40">
        <v>208</v>
      </c>
    </row>
    <row r="41" spans="1:12" x14ac:dyDescent="0.3">
      <c r="A41">
        <v>0.89090909090909098</v>
      </c>
      <c r="B41">
        <v>4</v>
      </c>
      <c r="C41">
        <v>1.5</v>
      </c>
      <c r="D41">
        <v>3</v>
      </c>
      <c r="E41">
        <v>7</v>
      </c>
      <c r="F41">
        <v>1</v>
      </c>
      <c r="G41">
        <v>0.81818181818181801</v>
      </c>
      <c r="H41">
        <v>0.86666666666666703</v>
      </c>
      <c r="I41">
        <v>0.94736842105263197</v>
      </c>
      <c r="J41">
        <v>0.85714285714285698</v>
      </c>
      <c r="K41">
        <v>0.86666666666666703</v>
      </c>
      <c r="L41">
        <v>590</v>
      </c>
    </row>
    <row r="42" spans="1:12" x14ac:dyDescent="0.3">
      <c r="A42">
        <v>0.94545454545454499</v>
      </c>
      <c r="B42">
        <v>1.25</v>
      </c>
      <c r="C42">
        <v>0.25</v>
      </c>
      <c r="D42">
        <v>3</v>
      </c>
      <c r="E42">
        <v>5</v>
      </c>
      <c r="F42">
        <v>0.94444444444444398</v>
      </c>
      <c r="G42">
        <v>0.95454545454545503</v>
      </c>
      <c r="H42">
        <v>0.93333333333333302</v>
      </c>
      <c r="I42">
        <v>0.94444444444444398</v>
      </c>
      <c r="J42">
        <v>0.93333333333333302</v>
      </c>
      <c r="K42">
        <v>0.96551724137931005</v>
      </c>
      <c r="L42">
        <v>438</v>
      </c>
    </row>
    <row r="43" spans="1:12" x14ac:dyDescent="0.3">
      <c r="A43">
        <v>0.89090909090909098</v>
      </c>
      <c r="B43">
        <v>1.5</v>
      </c>
      <c r="C43">
        <v>0.75</v>
      </c>
      <c r="D43">
        <v>3</v>
      </c>
      <c r="E43">
        <v>5</v>
      </c>
      <c r="F43">
        <v>1</v>
      </c>
      <c r="G43">
        <v>0.81818181818181801</v>
      </c>
      <c r="H43">
        <v>0.86666666666666703</v>
      </c>
      <c r="I43">
        <v>0.9</v>
      </c>
      <c r="J43">
        <v>0.9</v>
      </c>
      <c r="K43">
        <v>0.86666666666666703</v>
      </c>
      <c r="L43">
        <v>382</v>
      </c>
    </row>
    <row r="44" spans="1:12" x14ac:dyDescent="0.3">
      <c r="A44">
        <v>0.87272727272727302</v>
      </c>
      <c r="B44">
        <v>1.25</v>
      </c>
      <c r="C44">
        <v>0.25</v>
      </c>
      <c r="D44">
        <v>3</v>
      </c>
      <c r="E44">
        <v>5</v>
      </c>
      <c r="F44">
        <v>1</v>
      </c>
      <c r="G44">
        <v>0.68181818181818199</v>
      </c>
      <c r="H44">
        <v>1</v>
      </c>
      <c r="I44">
        <v>0.87804878048780499</v>
      </c>
      <c r="J44">
        <v>0.81081081081081097</v>
      </c>
      <c r="K44">
        <v>0.9375</v>
      </c>
      <c r="L44">
        <v>931</v>
      </c>
    </row>
    <row r="45" spans="1:12" x14ac:dyDescent="0.3">
      <c r="A45">
        <v>0.94545454545454499</v>
      </c>
      <c r="B45">
        <v>1.5</v>
      </c>
      <c r="C45">
        <v>0.25</v>
      </c>
      <c r="D45">
        <v>3</v>
      </c>
      <c r="E45">
        <v>5</v>
      </c>
      <c r="F45">
        <v>1</v>
      </c>
      <c r="G45">
        <v>0.86363636363636398</v>
      </c>
      <c r="H45">
        <v>1</v>
      </c>
      <c r="I45">
        <v>0.94736842105263197</v>
      </c>
      <c r="J45">
        <v>0.92682926829268297</v>
      </c>
      <c r="K45">
        <v>0.967741935483871</v>
      </c>
      <c r="L45">
        <v>342</v>
      </c>
    </row>
    <row r="46" spans="1:12" x14ac:dyDescent="0.3">
      <c r="A46">
        <v>0.94545454545454499</v>
      </c>
      <c r="B46">
        <v>2</v>
      </c>
      <c r="C46">
        <v>0.25</v>
      </c>
      <c r="D46">
        <v>3</v>
      </c>
      <c r="E46">
        <v>5</v>
      </c>
      <c r="F46">
        <v>0.94444444444444398</v>
      </c>
      <c r="G46">
        <v>1</v>
      </c>
      <c r="H46">
        <v>0.86666666666666703</v>
      </c>
      <c r="I46">
        <v>0.97142857142857097</v>
      </c>
      <c r="J46">
        <v>0.93617021276595702</v>
      </c>
      <c r="K46">
        <v>0.92857142857142905</v>
      </c>
      <c r="L46">
        <v>318</v>
      </c>
    </row>
    <row r="47" spans="1:12" x14ac:dyDescent="0.3">
      <c r="A47">
        <v>0.92727272727272703</v>
      </c>
      <c r="B47">
        <v>1.25</v>
      </c>
      <c r="C47">
        <v>0.25</v>
      </c>
      <c r="D47">
        <v>3</v>
      </c>
      <c r="E47">
        <v>5</v>
      </c>
      <c r="F47">
        <v>1</v>
      </c>
      <c r="G47">
        <v>0.81818181818181801</v>
      </c>
      <c r="H47">
        <v>1</v>
      </c>
      <c r="I47">
        <v>0.94736842105263197</v>
      </c>
      <c r="J47">
        <v>0.9</v>
      </c>
      <c r="K47">
        <v>0.9375</v>
      </c>
      <c r="L47">
        <v>835</v>
      </c>
    </row>
    <row r="48" spans="1:12" x14ac:dyDescent="0.3">
      <c r="A48">
        <v>0.92727272727272703</v>
      </c>
      <c r="B48">
        <v>3</v>
      </c>
      <c r="C48">
        <v>0.5</v>
      </c>
      <c r="D48">
        <v>3</v>
      </c>
      <c r="E48">
        <v>5</v>
      </c>
      <c r="F48">
        <v>1</v>
      </c>
      <c r="G48">
        <v>0.86363636363636398</v>
      </c>
      <c r="H48">
        <v>0.93333333333333302</v>
      </c>
      <c r="I48">
        <v>0.92307692307692302</v>
      </c>
      <c r="J48">
        <v>0.90476190476190499</v>
      </c>
      <c r="K48">
        <v>0.96551724137931005</v>
      </c>
      <c r="L48">
        <v>202</v>
      </c>
    </row>
    <row r="49" spans="1:12" x14ac:dyDescent="0.3">
      <c r="A49">
        <v>1</v>
      </c>
      <c r="B49">
        <v>3.75</v>
      </c>
      <c r="C49">
        <v>0.25</v>
      </c>
      <c r="D49">
        <v>4</v>
      </c>
      <c r="E49">
        <v>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108</v>
      </c>
    </row>
    <row r="50" spans="1:12" x14ac:dyDescent="0.3">
      <c r="A50">
        <v>0.96363636363636396</v>
      </c>
      <c r="B50">
        <v>1.25</v>
      </c>
      <c r="C50">
        <v>0.5</v>
      </c>
      <c r="D50">
        <v>3</v>
      </c>
      <c r="E50">
        <v>5</v>
      </c>
      <c r="F50">
        <v>1</v>
      </c>
      <c r="G50">
        <v>0.95454545454545503</v>
      </c>
      <c r="H50">
        <v>0.93333333333333302</v>
      </c>
      <c r="I50">
        <v>0.97297297297297303</v>
      </c>
      <c r="J50">
        <v>0.95454545454545503</v>
      </c>
      <c r="K50">
        <v>0.96551724137931005</v>
      </c>
      <c r="L50">
        <v>193</v>
      </c>
    </row>
    <row r="51" spans="1:12" x14ac:dyDescent="0.3">
      <c r="A51">
        <v>0.92727272727272703</v>
      </c>
      <c r="B51">
        <v>3.25</v>
      </c>
      <c r="C51">
        <v>0.75</v>
      </c>
      <c r="D51">
        <v>3</v>
      </c>
      <c r="E51">
        <v>5</v>
      </c>
      <c r="F51">
        <v>1</v>
      </c>
      <c r="G51">
        <v>0.81818181818181801</v>
      </c>
      <c r="H51">
        <v>1</v>
      </c>
      <c r="I51">
        <v>1</v>
      </c>
      <c r="J51">
        <v>0.9</v>
      </c>
      <c r="K51">
        <v>0.88235294117647101</v>
      </c>
      <c r="L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workbookViewId="0">
      <selection activeCell="N10" sqref="N10"/>
    </sheetView>
  </sheetViews>
  <sheetFormatPr defaultColWidth="11.5546875" defaultRowHeight="14.4" x14ac:dyDescent="0.3"/>
  <cols>
    <col min="2" max="2" width="19.33203125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1</v>
      </c>
      <c r="B2">
        <v>0.5</v>
      </c>
      <c r="C2">
        <v>4</v>
      </c>
      <c r="D2">
        <v>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884</v>
      </c>
    </row>
    <row r="3" spans="1:11" x14ac:dyDescent="0.3">
      <c r="A3">
        <v>0.90909090909090895</v>
      </c>
      <c r="B3">
        <v>0.5</v>
      </c>
      <c r="C3">
        <v>3</v>
      </c>
      <c r="D3">
        <v>5</v>
      </c>
      <c r="E3">
        <v>0.88888888888888895</v>
      </c>
      <c r="F3">
        <v>0.95454545454545503</v>
      </c>
      <c r="G3">
        <v>0.86666666666666703</v>
      </c>
      <c r="H3">
        <v>0.91428571428571404</v>
      </c>
      <c r="I3">
        <v>0.89361702127659604</v>
      </c>
      <c r="J3">
        <v>0.92857142857142905</v>
      </c>
      <c r="K3">
        <v>955</v>
      </c>
    </row>
    <row r="4" spans="1:11" x14ac:dyDescent="0.3">
      <c r="A4">
        <v>0.90909090909090895</v>
      </c>
      <c r="B4">
        <v>0.5</v>
      </c>
      <c r="C4">
        <v>3</v>
      </c>
      <c r="D4">
        <v>5</v>
      </c>
      <c r="E4">
        <v>0.94444444444444398</v>
      </c>
      <c r="F4">
        <v>0.86363636363636398</v>
      </c>
      <c r="G4">
        <v>0.93333333333333302</v>
      </c>
      <c r="H4">
        <v>0.89473684210526305</v>
      </c>
      <c r="I4">
        <v>0.88372093023255804</v>
      </c>
      <c r="J4">
        <v>0.96551724137931005</v>
      </c>
      <c r="K4">
        <v>921</v>
      </c>
    </row>
    <row r="5" spans="1:11" x14ac:dyDescent="0.3">
      <c r="A5">
        <v>0.92727272727272703</v>
      </c>
      <c r="B5">
        <v>0.6</v>
      </c>
      <c r="C5">
        <v>3</v>
      </c>
      <c r="D5">
        <v>5</v>
      </c>
      <c r="E5">
        <v>1</v>
      </c>
      <c r="F5">
        <v>0.90909090909090895</v>
      </c>
      <c r="G5">
        <v>0.86666666666666703</v>
      </c>
      <c r="H5">
        <v>0.97297297297297303</v>
      </c>
      <c r="I5">
        <v>0.90909090909090895</v>
      </c>
      <c r="J5">
        <v>0.89655172413793105</v>
      </c>
      <c r="K5">
        <v>572</v>
      </c>
    </row>
    <row r="6" spans="1:11" x14ac:dyDescent="0.3">
      <c r="A6">
        <v>0.98181818181818203</v>
      </c>
      <c r="B6">
        <v>0.6</v>
      </c>
      <c r="C6">
        <v>4</v>
      </c>
      <c r="D6">
        <v>7</v>
      </c>
      <c r="E6">
        <v>1</v>
      </c>
      <c r="F6">
        <v>1</v>
      </c>
      <c r="G6">
        <v>0.93333333333333302</v>
      </c>
      <c r="H6">
        <v>1</v>
      </c>
      <c r="I6">
        <v>0.97777777777777797</v>
      </c>
      <c r="J6">
        <v>0.96551724137931005</v>
      </c>
      <c r="K6">
        <v>928</v>
      </c>
    </row>
    <row r="7" spans="1:11" x14ac:dyDescent="0.3">
      <c r="A7">
        <v>0.89090909090909098</v>
      </c>
      <c r="B7">
        <v>0.4</v>
      </c>
      <c r="C7">
        <v>3</v>
      </c>
      <c r="D7">
        <v>6</v>
      </c>
      <c r="E7">
        <v>0.94444444444444398</v>
      </c>
      <c r="F7">
        <v>0.90909090909090895</v>
      </c>
      <c r="G7">
        <v>0.8</v>
      </c>
      <c r="H7">
        <v>0.91891891891891897</v>
      </c>
      <c r="I7">
        <v>0.88888888888888895</v>
      </c>
      <c r="J7">
        <v>0.85714285714285698</v>
      </c>
      <c r="K7">
        <v>243</v>
      </c>
    </row>
    <row r="8" spans="1:11" x14ac:dyDescent="0.3">
      <c r="A8">
        <v>0.94545454545454499</v>
      </c>
      <c r="B8">
        <v>0.7</v>
      </c>
      <c r="C8">
        <v>3</v>
      </c>
      <c r="D8">
        <v>5</v>
      </c>
      <c r="E8">
        <v>0.94444444444444398</v>
      </c>
      <c r="F8">
        <v>1</v>
      </c>
      <c r="G8">
        <v>0.86666666666666703</v>
      </c>
      <c r="H8">
        <v>0.97142857142857097</v>
      </c>
      <c r="I8">
        <v>0.93617021276595702</v>
      </c>
      <c r="J8">
        <v>0.92857142857142905</v>
      </c>
      <c r="K8">
        <v>756</v>
      </c>
    </row>
    <row r="9" spans="1:11" x14ac:dyDescent="0.3">
      <c r="A9">
        <v>0.98181818181818203</v>
      </c>
      <c r="B9">
        <v>0.6</v>
      </c>
      <c r="C9">
        <v>4</v>
      </c>
      <c r="D9">
        <v>7</v>
      </c>
      <c r="E9">
        <v>1</v>
      </c>
      <c r="F9">
        <v>1</v>
      </c>
      <c r="G9">
        <v>0.93333333333333302</v>
      </c>
      <c r="H9">
        <v>1</v>
      </c>
      <c r="I9">
        <v>0.97777777777777797</v>
      </c>
      <c r="J9">
        <v>0.96551724137931005</v>
      </c>
      <c r="K9">
        <v>847</v>
      </c>
    </row>
    <row r="10" spans="1:11" x14ac:dyDescent="0.3">
      <c r="A10">
        <v>0.92727272727272703</v>
      </c>
      <c r="B10">
        <v>0.7</v>
      </c>
      <c r="C10">
        <v>3</v>
      </c>
      <c r="D10">
        <v>5</v>
      </c>
      <c r="E10">
        <v>1</v>
      </c>
      <c r="F10">
        <v>0.86363636363636398</v>
      </c>
      <c r="G10">
        <v>0.93333333333333302</v>
      </c>
      <c r="H10">
        <v>0.92307692307692302</v>
      </c>
      <c r="I10">
        <v>0.92682926829268297</v>
      </c>
      <c r="J10">
        <v>0.93333333333333302</v>
      </c>
      <c r="K10">
        <v>328</v>
      </c>
    </row>
    <row r="11" spans="1:11" x14ac:dyDescent="0.3">
      <c r="A11">
        <v>0.89090909090909098</v>
      </c>
      <c r="B11">
        <v>0.6</v>
      </c>
      <c r="C11">
        <v>3</v>
      </c>
      <c r="D11">
        <v>6</v>
      </c>
      <c r="E11">
        <v>0.94444444444444398</v>
      </c>
      <c r="F11">
        <v>0.86363636363636398</v>
      </c>
      <c r="G11">
        <v>0.86666666666666703</v>
      </c>
      <c r="H11">
        <v>0.89473684210526305</v>
      </c>
      <c r="I11">
        <v>0.86363636363636398</v>
      </c>
      <c r="J11">
        <v>0.92857142857142905</v>
      </c>
      <c r="K11">
        <v>266</v>
      </c>
    </row>
    <row r="12" spans="1:11" x14ac:dyDescent="0.3">
      <c r="A12">
        <v>0.96363636363636396</v>
      </c>
      <c r="B12">
        <v>0.7</v>
      </c>
      <c r="C12">
        <v>4</v>
      </c>
      <c r="D12">
        <v>6</v>
      </c>
      <c r="E12">
        <v>1</v>
      </c>
      <c r="F12">
        <v>0.90909090909090895</v>
      </c>
      <c r="G12">
        <v>1</v>
      </c>
      <c r="H12">
        <v>1</v>
      </c>
      <c r="I12">
        <v>0.952380952380952</v>
      </c>
      <c r="J12">
        <v>0.9375</v>
      </c>
      <c r="K12">
        <v>462</v>
      </c>
    </row>
    <row r="13" spans="1:11" x14ac:dyDescent="0.3">
      <c r="A13">
        <v>0.83636363636363598</v>
      </c>
      <c r="B13">
        <v>0.3</v>
      </c>
      <c r="C13">
        <v>4</v>
      </c>
      <c r="D13">
        <v>7</v>
      </c>
      <c r="E13">
        <v>1</v>
      </c>
      <c r="F13">
        <v>0.77272727272727304</v>
      </c>
      <c r="G13">
        <v>0.73333333333333295</v>
      </c>
      <c r="H13">
        <v>0.87804878048780499</v>
      </c>
      <c r="I13">
        <v>0.82926829268292701</v>
      </c>
      <c r="J13">
        <v>0.78571428571428603</v>
      </c>
      <c r="K13">
        <v>308</v>
      </c>
    </row>
    <row r="14" spans="1:11" x14ac:dyDescent="0.3">
      <c r="A14">
        <v>0.89090909090909098</v>
      </c>
      <c r="B14">
        <v>0.6</v>
      </c>
      <c r="C14">
        <v>3</v>
      </c>
      <c r="D14">
        <v>5</v>
      </c>
      <c r="E14">
        <v>1</v>
      </c>
      <c r="F14">
        <v>0.86363636363636398</v>
      </c>
      <c r="G14">
        <v>0.8</v>
      </c>
      <c r="H14">
        <v>0.94736842105263197</v>
      </c>
      <c r="I14">
        <v>0.88372093023255804</v>
      </c>
      <c r="J14">
        <v>0.82758620689655205</v>
      </c>
      <c r="K14">
        <v>181</v>
      </c>
    </row>
    <row r="15" spans="1:11" x14ac:dyDescent="0.3">
      <c r="A15">
        <v>0.96363636363636396</v>
      </c>
      <c r="B15">
        <v>0.7</v>
      </c>
      <c r="C15">
        <v>3</v>
      </c>
      <c r="D15">
        <v>5</v>
      </c>
      <c r="E15">
        <v>1</v>
      </c>
      <c r="F15">
        <v>0.90909090909090895</v>
      </c>
      <c r="G15">
        <v>1</v>
      </c>
      <c r="H15">
        <v>0.97297297297297303</v>
      </c>
      <c r="I15">
        <v>0.952380952380952</v>
      </c>
      <c r="J15">
        <v>0.967741935483871</v>
      </c>
      <c r="K15">
        <v>442</v>
      </c>
    </row>
    <row r="16" spans="1:11" x14ac:dyDescent="0.3">
      <c r="A16">
        <v>0.96363636363636396</v>
      </c>
      <c r="B16">
        <v>0.5</v>
      </c>
      <c r="C16">
        <v>3</v>
      </c>
      <c r="D16">
        <v>5</v>
      </c>
      <c r="E16">
        <v>1</v>
      </c>
      <c r="F16">
        <v>0.95454545454545503</v>
      </c>
      <c r="G16">
        <v>0.93333333333333302</v>
      </c>
      <c r="H16">
        <v>0.97297297297297303</v>
      </c>
      <c r="I16">
        <v>0.95454545454545503</v>
      </c>
      <c r="J16">
        <v>0.96551724137931005</v>
      </c>
      <c r="K16">
        <v>41</v>
      </c>
    </row>
    <row r="17" spans="1:11" x14ac:dyDescent="0.3">
      <c r="A17">
        <v>0.90909090909090895</v>
      </c>
      <c r="B17">
        <v>0.7</v>
      </c>
      <c r="C17">
        <v>3</v>
      </c>
      <c r="D17">
        <v>6</v>
      </c>
      <c r="E17">
        <v>0.88888888888888895</v>
      </c>
      <c r="F17">
        <v>0.86363636363636398</v>
      </c>
      <c r="G17">
        <v>1</v>
      </c>
      <c r="H17">
        <v>0.88888888888888895</v>
      </c>
      <c r="I17">
        <v>0.88372093023255804</v>
      </c>
      <c r="J17">
        <v>0.967741935483871</v>
      </c>
      <c r="K17">
        <v>51</v>
      </c>
    </row>
    <row r="18" spans="1:11" x14ac:dyDescent="0.3">
      <c r="A18">
        <v>0.94545454545454499</v>
      </c>
      <c r="B18">
        <v>0.6</v>
      </c>
      <c r="C18">
        <v>3</v>
      </c>
      <c r="D18">
        <v>5</v>
      </c>
      <c r="E18">
        <v>1</v>
      </c>
      <c r="F18">
        <v>0.86363636363636398</v>
      </c>
      <c r="G18">
        <v>1</v>
      </c>
      <c r="H18">
        <v>0.94736842105263197</v>
      </c>
      <c r="I18">
        <v>0.92682926829268297</v>
      </c>
      <c r="J18">
        <v>0.967741935483871</v>
      </c>
      <c r="K18">
        <v>34</v>
      </c>
    </row>
    <row r="19" spans="1:11" x14ac:dyDescent="0.3">
      <c r="A19">
        <v>0.94545454545454499</v>
      </c>
      <c r="B19">
        <v>0.9</v>
      </c>
      <c r="C19">
        <v>3</v>
      </c>
      <c r="D19">
        <v>6</v>
      </c>
      <c r="E19">
        <v>0.88888888888888895</v>
      </c>
      <c r="F19">
        <v>0.95454545454545503</v>
      </c>
      <c r="G19">
        <v>1</v>
      </c>
      <c r="H19">
        <v>0.91428571428571404</v>
      </c>
      <c r="I19">
        <v>0.93333333333333302</v>
      </c>
      <c r="J19">
        <v>1</v>
      </c>
      <c r="K19">
        <v>45</v>
      </c>
    </row>
    <row r="20" spans="1:11" x14ac:dyDescent="0.3">
      <c r="A20">
        <v>0.94545454545454499</v>
      </c>
      <c r="B20">
        <v>0.7</v>
      </c>
      <c r="C20">
        <v>3</v>
      </c>
      <c r="D20">
        <v>5</v>
      </c>
      <c r="E20">
        <v>1</v>
      </c>
      <c r="F20">
        <v>0.90909090909090895</v>
      </c>
      <c r="G20">
        <v>0.93333333333333302</v>
      </c>
      <c r="H20">
        <v>0.97297297297297303</v>
      </c>
      <c r="I20">
        <v>0.93023255813953498</v>
      </c>
      <c r="J20">
        <v>0.93333333333333302</v>
      </c>
      <c r="K20">
        <v>719</v>
      </c>
    </row>
    <row r="21" spans="1:11" x14ac:dyDescent="0.3">
      <c r="A21">
        <v>0.92727272727272703</v>
      </c>
      <c r="B21">
        <v>0.7</v>
      </c>
      <c r="C21">
        <v>3</v>
      </c>
      <c r="D21">
        <v>5</v>
      </c>
      <c r="E21">
        <v>0.88888888888888895</v>
      </c>
      <c r="F21">
        <v>0.90909090909090895</v>
      </c>
      <c r="G21">
        <v>1</v>
      </c>
      <c r="H21">
        <v>0.91428571428571404</v>
      </c>
      <c r="I21">
        <v>0.90909090909090895</v>
      </c>
      <c r="J21">
        <v>0.967741935483871</v>
      </c>
      <c r="K21">
        <v>377</v>
      </c>
    </row>
    <row r="22" spans="1:11" x14ac:dyDescent="0.3">
      <c r="A22">
        <v>0.90909090909090895</v>
      </c>
      <c r="B22">
        <v>0.1</v>
      </c>
      <c r="C22">
        <v>4</v>
      </c>
      <c r="D22">
        <v>5</v>
      </c>
      <c r="E22">
        <v>0.88888888888888895</v>
      </c>
      <c r="F22">
        <v>0.95454545454545503</v>
      </c>
      <c r="G22">
        <v>0.86666666666666703</v>
      </c>
      <c r="H22">
        <v>0.94117647058823495</v>
      </c>
      <c r="I22">
        <v>0.89361702127659604</v>
      </c>
      <c r="J22">
        <v>0.89655172413793105</v>
      </c>
      <c r="K22">
        <v>212</v>
      </c>
    </row>
    <row r="23" spans="1:11" x14ac:dyDescent="0.3">
      <c r="A23">
        <v>1</v>
      </c>
      <c r="B23">
        <v>0.8</v>
      </c>
      <c r="C23">
        <v>4</v>
      </c>
      <c r="D23">
        <v>7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883</v>
      </c>
    </row>
    <row r="24" spans="1:11" x14ac:dyDescent="0.3">
      <c r="A24">
        <v>0.89090909090909098</v>
      </c>
      <c r="B24">
        <v>0.6</v>
      </c>
      <c r="C24">
        <v>4</v>
      </c>
      <c r="D24">
        <v>6</v>
      </c>
      <c r="E24">
        <v>1</v>
      </c>
      <c r="F24">
        <v>0.90909090909090895</v>
      </c>
      <c r="G24">
        <v>0.73333333333333295</v>
      </c>
      <c r="H24">
        <v>0.97297297297297303</v>
      </c>
      <c r="I24">
        <v>0.88888888888888895</v>
      </c>
      <c r="J24">
        <v>0.78571428571428603</v>
      </c>
      <c r="K24">
        <v>379</v>
      </c>
    </row>
    <row r="25" spans="1:11" x14ac:dyDescent="0.3">
      <c r="A25">
        <v>0.92727272727272703</v>
      </c>
      <c r="B25">
        <v>0.8</v>
      </c>
      <c r="C25">
        <v>3</v>
      </c>
      <c r="D25">
        <v>6</v>
      </c>
      <c r="E25">
        <v>0.88888888888888895</v>
      </c>
      <c r="F25">
        <v>0.90909090909090895</v>
      </c>
      <c r="G25">
        <v>1</v>
      </c>
      <c r="H25">
        <v>0.88888888888888895</v>
      </c>
      <c r="I25">
        <v>0.90909090909090895</v>
      </c>
      <c r="J25">
        <v>1</v>
      </c>
      <c r="K25">
        <v>821</v>
      </c>
    </row>
    <row r="26" spans="1:11" x14ac:dyDescent="0.3">
      <c r="A26">
        <v>0.96363636363636396</v>
      </c>
      <c r="B26">
        <v>0.6</v>
      </c>
      <c r="C26">
        <v>3</v>
      </c>
      <c r="D26">
        <v>5</v>
      </c>
      <c r="E26">
        <v>1</v>
      </c>
      <c r="F26">
        <v>0.90909090909090895</v>
      </c>
      <c r="G26">
        <v>1</v>
      </c>
      <c r="H26">
        <v>0.97297297297297303</v>
      </c>
      <c r="I26">
        <v>0.952380952380952</v>
      </c>
      <c r="J26">
        <v>0.967741935483871</v>
      </c>
      <c r="K26">
        <v>332</v>
      </c>
    </row>
    <row r="27" spans="1:11" x14ac:dyDescent="0.3">
      <c r="A27">
        <v>0.92727272727272703</v>
      </c>
      <c r="B27">
        <v>0.6</v>
      </c>
      <c r="C27">
        <v>3</v>
      </c>
      <c r="D27">
        <v>5</v>
      </c>
      <c r="E27">
        <v>1</v>
      </c>
      <c r="F27">
        <v>0.86363636363636398</v>
      </c>
      <c r="G27">
        <v>0.93333333333333302</v>
      </c>
      <c r="H27">
        <v>0.97297297297297303</v>
      </c>
      <c r="I27">
        <v>0.90476190476190499</v>
      </c>
      <c r="J27">
        <v>0.90322580645161299</v>
      </c>
      <c r="K27">
        <v>712</v>
      </c>
    </row>
    <row r="28" spans="1:11" x14ac:dyDescent="0.3">
      <c r="A28">
        <v>0.85454545454545405</v>
      </c>
      <c r="B28">
        <v>0.5</v>
      </c>
      <c r="C28">
        <v>5</v>
      </c>
      <c r="D28">
        <v>7</v>
      </c>
      <c r="E28">
        <v>1</v>
      </c>
      <c r="F28">
        <v>0.72727272727272696</v>
      </c>
      <c r="G28">
        <v>0.86666666666666703</v>
      </c>
      <c r="H28">
        <v>0.94736842105263197</v>
      </c>
      <c r="I28">
        <v>0.8</v>
      </c>
      <c r="J28">
        <v>0.8125</v>
      </c>
      <c r="K28">
        <v>348</v>
      </c>
    </row>
    <row r="29" spans="1:11" x14ac:dyDescent="0.3">
      <c r="A29">
        <v>0.90909090909090895</v>
      </c>
      <c r="B29">
        <v>0.3</v>
      </c>
      <c r="C29">
        <v>3</v>
      </c>
      <c r="D29">
        <v>6</v>
      </c>
      <c r="E29">
        <v>1</v>
      </c>
      <c r="F29">
        <v>0.81818181818181801</v>
      </c>
      <c r="G29">
        <v>0.93333333333333302</v>
      </c>
      <c r="H29">
        <v>0.9</v>
      </c>
      <c r="I29">
        <v>0.9</v>
      </c>
      <c r="J29">
        <v>0.93333333333333302</v>
      </c>
      <c r="K29">
        <v>660</v>
      </c>
    </row>
    <row r="30" spans="1:11" x14ac:dyDescent="0.3">
      <c r="A30">
        <v>0.96363636363636396</v>
      </c>
      <c r="B30">
        <v>0.3</v>
      </c>
      <c r="C30">
        <v>3</v>
      </c>
      <c r="D30">
        <v>5</v>
      </c>
      <c r="E30">
        <v>1</v>
      </c>
      <c r="F30">
        <v>0.95454545454545503</v>
      </c>
      <c r="G30">
        <v>0.93333333333333302</v>
      </c>
      <c r="H30">
        <v>0.97297297297297303</v>
      </c>
      <c r="I30">
        <v>0.95454545454545503</v>
      </c>
      <c r="J30">
        <v>0.96551724137931005</v>
      </c>
      <c r="K30">
        <v>44</v>
      </c>
    </row>
    <row r="31" spans="1:11" x14ac:dyDescent="0.3">
      <c r="A31">
        <v>0.94545454545454499</v>
      </c>
      <c r="B31">
        <v>0.6</v>
      </c>
      <c r="C31">
        <v>4</v>
      </c>
      <c r="D31">
        <v>7</v>
      </c>
      <c r="E31">
        <v>1</v>
      </c>
      <c r="F31">
        <v>0.86363636363636398</v>
      </c>
      <c r="G31">
        <v>1</v>
      </c>
      <c r="H31">
        <v>0.92307692307692302</v>
      </c>
      <c r="I31">
        <v>0.92682926829268297</v>
      </c>
      <c r="J31">
        <v>1</v>
      </c>
      <c r="K31">
        <v>560</v>
      </c>
    </row>
    <row r="32" spans="1:11" x14ac:dyDescent="0.3">
      <c r="A32">
        <v>0.89090909090909098</v>
      </c>
      <c r="B32">
        <v>0.3</v>
      </c>
      <c r="C32">
        <v>3</v>
      </c>
      <c r="D32">
        <v>5</v>
      </c>
      <c r="E32">
        <v>1</v>
      </c>
      <c r="F32">
        <v>0.86363636363636398</v>
      </c>
      <c r="G32">
        <v>0.8</v>
      </c>
      <c r="H32">
        <v>0.94736842105263197</v>
      </c>
      <c r="I32">
        <v>0.88372093023255804</v>
      </c>
      <c r="J32">
        <v>0.82758620689655205</v>
      </c>
      <c r="K32">
        <v>224</v>
      </c>
    </row>
    <row r="33" spans="1:11" x14ac:dyDescent="0.3">
      <c r="A33">
        <v>0.92727272727272703</v>
      </c>
      <c r="B33">
        <v>0.6</v>
      </c>
      <c r="C33">
        <v>3</v>
      </c>
      <c r="D33">
        <v>6</v>
      </c>
      <c r="E33">
        <v>1</v>
      </c>
      <c r="F33">
        <v>0.90909090909090895</v>
      </c>
      <c r="G33">
        <v>0.86666666666666703</v>
      </c>
      <c r="H33">
        <v>0.97297297297297303</v>
      </c>
      <c r="I33">
        <v>0.90909090909090895</v>
      </c>
      <c r="J33">
        <v>0.89655172413793105</v>
      </c>
      <c r="K33">
        <v>728</v>
      </c>
    </row>
    <row r="34" spans="1:11" x14ac:dyDescent="0.3">
      <c r="A34">
        <v>0.89090909090909098</v>
      </c>
      <c r="B34">
        <v>0.6</v>
      </c>
      <c r="C34">
        <v>3</v>
      </c>
      <c r="D34">
        <v>5</v>
      </c>
      <c r="E34">
        <v>1</v>
      </c>
      <c r="F34">
        <v>0.86363636363636398</v>
      </c>
      <c r="G34">
        <v>0.8</v>
      </c>
      <c r="H34">
        <v>0.97297297297297303</v>
      </c>
      <c r="I34">
        <v>0.86363636363636398</v>
      </c>
      <c r="J34">
        <v>0.82758620689655205</v>
      </c>
      <c r="K34">
        <v>822</v>
      </c>
    </row>
    <row r="35" spans="1:11" x14ac:dyDescent="0.3">
      <c r="A35">
        <v>0.96363636363636396</v>
      </c>
      <c r="B35">
        <v>0.7</v>
      </c>
      <c r="C35">
        <v>3</v>
      </c>
      <c r="D35">
        <v>6</v>
      </c>
      <c r="E35">
        <v>1</v>
      </c>
      <c r="F35">
        <v>0.90909090909090895</v>
      </c>
      <c r="G35">
        <v>1</v>
      </c>
      <c r="H35">
        <v>0.94736842105263197</v>
      </c>
      <c r="I35">
        <v>0.952380952380952</v>
      </c>
      <c r="J35">
        <v>1</v>
      </c>
      <c r="K35">
        <v>551</v>
      </c>
    </row>
    <row r="36" spans="1:11" x14ac:dyDescent="0.3">
      <c r="A36">
        <v>0.96363636363636396</v>
      </c>
      <c r="B36">
        <v>0.7</v>
      </c>
      <c r="C36">
        <v>4</v>
      </c>
      <c r="D36">
        <v>6</v>
      </c>
      <c r="E36">
        <v>1</v>
      </c>
      <c r="F36">
        <v>1</v>
      </c>
      <c r="G36">
        <v>0.86666666666666703</v>
      </c>
      <c r="H36">
        <v>1</v>
      </c>
      <c r="I36">
        <v>0.95652173913043503</v>
      </c>
      <c r="J36">
        <v>0.92857142857142905</v>
      </c>
      <c r="K36">
        <v>102</v>
      </c>
    </row>
    <row r="37" spans="1:11" x14ac:dyDescent="0.3">
      <c r="A37">
        <v>0.96363636363636396</v>
      </c>
      <c r="B37">
        <v>0.5</v>
      </c>
      <c r="C37">
        <v>3</v>
      </c>
      <c r="D37">
        <v>6</v>
      </c>
      <c r="E37">
        <v>1</v>
      </c>
      <c r="F37">
        <v>0.90909090909090895</v>
      </c>
      <c r="G37">
        <v>1</v>
      </c>
      <c r="H37">
        <v>0.94736842105263197</v>
      </c>
      <c r="I37">
        <v>0.952380952380952</v>
      </c>
      <c r="J37">
        <v>1</v>
      </c>
      <c r="K37">
        <v>304</v>
      </c>
    </row>
    <row r="38" spans="1:11" x14ac:dyDescent="0.3">
      <c r="A38">
        <v>0.98181818181818203</v>
      </c>
      <c r="B38">
        <v>0.5</v>
      </c>
      <c r="C38">
        <v>3</v>
      </c>
      <c r="D38">
        <v>6</v>
      </c>
      <c r="E38">
        <v>0.94444444444444398</v>
      </c>
      <c r="F38">
        <v>1</v>
      </c>
      <c r="G38">
        <v>1</v>
      </c>
      <c r="H38">
        <v>0.97142857142857097</v>
      </c>
      <c r="I38">
        <v>0.97777777777777797</v>
      </c>
      <c r="J38">
        <v>1</v>
      </c>
      <c r="K38">
        <v>975</v>
      </c>
    </row>
    <row r="39" spans="1:11" x14ac:dyDescent="0.3">
      <c r="A39">
        <v>0.89090909090909098</v>
      </c>
      <c r="B39">
        <v>0.7</v>
      </c>
      <c r="C39">
        <v>3</v>
      </c>
      <c r="D39">
        <v>6</v>
      </c>
      <c r="E39">
        <v>0.94444444444444398</v>
      </c>
      <c r="F39">
        <v>0.95454545454545503</v>
      </c>
      <c r="G39">
        <v>0.73333333333333295</v>
      </c>
      <c r="H39">
        <v>0.91891891891891897</v>
      </c>
      <c r="I39">
        <v>0.89361702127659604</v>
      </c>
      <c r="J39">
        <v>0.84615384615384603</v>
      </c>
      <c r="K39">
        <v>518</v>
      </c>
    </row>
    <row r="40" spans="1:11" x14ac:dyDescent="0.3">
      <c r="A40">
        <v>0.92727272727272703</v>
      </c>
      <c r="B40">
        <v>0.5</v>
      </c>
      <c r="C40">
        <v>3</v>
      </c>
      <c r="D40">
        <v>5</v>
      </c>
      <c r="E40">
        <v>0.94444444444444398</v>
      </c>
      <c r="F40">
        <v>0.86363636363636398</v>
      </c>
      <c r="G40">
        <v>1</v>
      </c>
      <c r="H40">
        <v>0.94444444444444398</v>
      </c>
      <c r="I40">
        <v>0.90476190476190499</v>
      </c>
      <c r="J40">
        <v>0.9375</v>
      </c>
      <c r="K40">
        <v>208</v>
      </c>
    </row>
    <row r="41" spans="1:11" x14ac:dyDescent="0.3">
      <c r="A41">
        <v>0.87272727272727302</v>
      </c>
      <c r="B41">
        <v>0.2</v>
      </c>
      <c r="C41">
        <v>4</v>
      </c>
      <c r="D41">
        <v>7</v>
      </c>
      <c r="E41">
        <v>1</v>
      </c>
      <c r="F41">
        <v>0.90909090909090895</v>
      </c>
      <c r="G41">
        <v>0.66666666666666696</v>
      </c>
      <c r="H41">
        <v>0.97297297297297303</v>
      </c>
      <c r="I41">
        <v>0.86956521739130399</v>
      </c>
      <c r="J41">
        <v>0.74074074074074103</v>
      </c>
      <c r="K41">
        <v>590</v>
      </c>
    </row>
    <row r="42" spans="1:11" x14ac:dyDescent="0.3">
      <c r="A42">
        <v>0.94545454545454499</v>
      </c>
      <c r="B42">
        <v>0.4</v>
      </c>
      <c r="C42">
        <v>3</v>
      </c>
      <c r="D42">
        <v>5</v>
      </c>
      <c r="E42">
        <v>0.94444444444444398</v>
      </c>
      <c r="F42">
        <v>0.95454545454545503</v>
      </c>
      <c r="G42">
        <v>0.93333333333333302</v>
      </c>
      <c r="H42">
        <v>0.94444444444444398</v>
      </c>
      <c r="I42">
        <v>0.93333333333333302</v>
      </c>
      <c r="J42">
        <v>0.96551724137931005</v>
      </c>
      <c r="K42">
        <v>438</v>
      </c>
    </row>
    <row r="43" spans="1:11" x14ac:dyDescent="0.3">
      <c r="A43">
        <v>0.89090909090909098</v>
      </c>
      <c r="B43">
        <v>0.2</v>
      </c>
      <c r="C43">
        <v>3</v>
      </c>
      <c r="D43">
        <v>5</v>
      </c>
      <c r="E43">
        <v>1</v>
      </c>
      <c r="F43">
        <v>0.81818181818181801</v>
      </c>
      <c r="G43">
        <v>0.86666666666666703</v>
      </c>
      <c r="H43">
        <v>0.9</v>
      </c>
      <c r="I43">
        <v>0.9</v>
      </c>
      <c r="J43">
        <v>0.86666666666666703</v>
      </c>
      <c r="K43">
        <v>382</v>
      </c>
    </row>
    <row r="44" spans="1:11" x14ac:dyDescent="0.3">
      <c r="A44">
        <v>0.87272727272727302</v>
      </c>
      <c r="B44">
        <v>0.7</v>
      </c>
      <c r="C44">
        <v>3</v>
      </c>
      <c r="D44">
        <v>5</v>
      </c>
      <c r="E44">
        <v>1</v>
      </c>
      <c r="F44">
        <v>0.68181818181818199</v>
      </c>
      <c r="G44">
        <v>1</v>
      </c>
      <c r="H44">
        <v>0.87804878048780499</v>
      </c>
      <c r="I44">
        <v>0.81081081081081097</v>
      </c>
      <c r="J44">
        <v>0.9375</v>
      </c>
      <c r="K44">
        <v>931</v>
      </c>
    </row>
    <row r="45" spans="1:11" x14ac:dyDescent="0.3">
      <c r="A45">
        <v>0.94545454545454499</v>
      </c>
      <c r="B45">
        <v>0.7</v>
      </c>
      <c r="C45">
        <v>3</v>
      </c>
      <c r="D45">
        <v>5</v>
      </c>
      <c r="E45">
        <v>1</v>
      </c>
      <c r="F45">
        <v>0.86363636363636398</v>
      </c>
      <c r="G45">
        <v>1</v>
      </c>
      <c r="H45">
        <v>0.94736842105263197</v>
      </c>
      <c r="I45">
        <v>0.92682926829268297</v>
      </c>
      <c r="J45">
        <v>0.967741935483871</v>
      </c>
      <c r="K45">
        <v>342</v>
      </c>
    </row>
    <row r="46" spans="1:11" x14ac:dyDescent="0.3">
      <c r="A46">
        <v>0.94545454545454499</v>
      </c>
      <c r="B46">
        <v>0.5</v>
      </c>
      <c r="C46">
        <v>3</v>
      </c>
      <c r="D46">
        <v>5</v>
      </c>
      <c r="E46">
        <v>0.94444444444444398</v>
      </c>
      <c r="F46">
        <v>1</v>
      </c>
      <c r="G46">
        <v>0.86666666666666703</v>
      </c>
      <c r="H46">
        <v>0.97142857142857097</v>
      </c>
      <c r="I46">
        <v>0.93617021276595702</v>
      </c>
      <c r="J46">
        <v>0.92857142857142905</v>
      </c>
      <c r="K46">
        <v>318</v>
      </c>
    </row>
    <row r="47" spans="1:11" x14ac:dyDescent="0.3">
      <c r="A47">
        <v>0.92727272727272703</v>
      </c>
      <c r="B47">
        <v>0.8</v>
      </c>
      <c r="C47">
        <v>3</v>
      </c>
      <c r="D47">
        <v>5</v>
      </c>
      <c r="E47">
        <v>1</v>
      </c>
      <c r="F47">
        <v>0.81818181818181801</v>
      </c>
      <c r="G47">
        <v>1</v>
      </c>
      <c r="H47">
        <v>0.94736842105263197</v>
      </c>
      <c r="I47">
        <v>0.9</v>
      </c>
      <c r="J47">
        <v>0.9375</v>
      </c>
      <c r="K47">
        <v>835</v>
      </c>
    </row>
    <row r="48" spans="1:11" x14ac:dyDescent="0.3">
      <c r="A48">
        <v>0.98181818181818203</v>
      </c>
      <c r="B48">
        <v>0.7</v>
      </c>
      <c r="C48">
        <v>4</v>
      </c>
      <c r="D48">
        <v>6</v>
      </c>
      <c r="E48">
        <v>1</v>
      </c>
      <c r="F48">
        <v>1</v>
      </c>
      <c r="G48">
        <v>0.93333333333333302</v>
      </c>
      <c r="H48">
        <v>1</v>
      </c>
      <c r="I48">
        <v>0.97777777777777797</v>
      </c>
      <c r="J48">
        <v>0.96551724137931005</v>
      </c>
      <c r="K48">
        <v>202</v>
      </c>
    </row>
    <row r="49" spans="1:11" x14ac:dyDescent="0.3">
      <c r="A49">
        <v>0.94545454545454499</v>
      </c>
      <c r="B49">
        <v>0.3</v>
      </c>
      <c r="C49">
        <v>3</v>
      </c>
      <c r="D49">
        <v>7</v>
      </c>
      <c r="E49">
        <v>1</v>
      </c>
      <c r="F49">
        <v>0.86363636363636398</v>
      </c>
      <c r="G49">
        <v>1</v>
      </c>
      <c r="H49">
        <v>0.92307692307692302</v>
      </c>
      <c r="I49">
        <v>0.92682926829268297</v>
      </c>
      <c r="J49">
        <v>1</v>
      </c>
      <c r="K49">
        <v>108</v>
      </c>
    </row>
    <row r="50" spans="1:11" x14ac:dyDescent="0.3">
      <c r="A50">
        <v>0.96363636363636396</v>
      </c>
      <c r="B50">
        <v>0.7</v>
      </c>
      <c r="C50">
        <v>3</v>
      </c>
      <c r="D50">
        <v>5</v>
      </c>
      <c r="E50">
        <v>1</v>
      </c>
      <c r="F50">
        <v>0.95454545454545503</v>
      </c>
      <c r="G50">
        <v>0.93333333333333302</v>
      </c>
      <c r="H50">
        <v>0.97297297297297303</v>
      </c>
      <c r="I50">
        <v>0.95454545454545503</v>
      </c>
      <c r="J50">
        <v>0.96551724137931005</v>
      </c>
      <c r="K50">
        <v>193</v>
      </c>
    </row>
    <row r="51" spans="1:11" x14ac:dyDescent="0.3">
      <c r="A51">
        <v>0.90909090909090895</v>
      </c>
      <c r="B51">
        <v>0.5</v>
      </c>
      <c r="C51">
        <v>4</v>
      </c>
      <c r="D51">
        <v>6</v>
      </c>
      <c r="E51">
        <v>1</v>
      </c>
      <c r="F51">
        <v>0.90909090909090895</v>
      </c>
      <c r="G51">
        <v>0.8</v>
      </c>
      <c r="H51">
        <v>1</v>
      </c>
      <c r="I51">
        <v>0.88888888888888895</v>
      </c>
      <c r="J51">
        <v>0.82758620689655205</v>
      </c>
      <c r="K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1"/>
  <sheetViews>
    <sheetView topLeftCell="A31" workbookViewId="0">
      <selection activeCell="H50" sqref="H50"/>
    </sheetView>
  </sheetViews>
  <sheetFormatPr defaultColWidth="11.5546875" defaultRowHeight="14.4" x14ac:dyDescent="0.3"/>
  <sheetData>
    <row r="1" spans="1:1" x14ac:dyDescent="0.3">
      <c r="A1" t="s">
        <v>12</v>
      </c>
    </row>
    <row r="2" spans="1:1" x14ac:dyDescent="0.3">
      <c r="A2">
        <v>884</v>
      </c>
    </row>
    <row r="3" spans="1:1" x14ac:dyDescent="0.3">
      <c r="A3">
        <v>955</v>
      </c>
    </row>
    <row r="4" spans="1:1" x14ac:dyDescent="0.3">
      <c r="A4">
        <v>921</v>
      </c>
    </row>
    <row r="5" spans="1:1" x14ac:dyDescent="0.3">
      <c r="A5">
        <v>572</v>
      </c>
    </row>
    <row r="6" spans="1:1" x14ac:dyDescent="0.3">
      <c r="A6">
        <v>928</v>
      </c>
    </row>
    <row r="7" spans="1:1" x14ac:dyDescent="0.3">
      <c r="A7">
        <v>243</v>
      </c>
    </row>
    <row r="8" spans="1:1" x14ac:dyDescent="0.3">
      <c r="A8">
        <v>756</v>
      </c>
    </row>
    <row r="9" spans="1:1" x14ac:dyDescent="0.3">
      <c r="A9">
        <v>847</v>
      </c>
    </row>
    <row r="10" spans="1:1" x14ac:dyDescent="0.3">
      <c r="A10">
        <v>328</v>
      </c>
    </row>
    <row r="11" spans="1:1" x14ac:dyDescent="0.3">
      <c r="A11">
        <v>266</v>
      </c>
    </row>
    <row r="12" spans="1:1" x14ac:dyDescent="0.3">
      <c r="A12">
        <v>462</v>
      </c>
    </row>
    <row r="13" spans="1:1" x14ac:dyDescent="0.3">
      <c r="A13">
        <v>308</v>
      </c>
    </row>
    <row r="14" spans="1:1" x14ac:dyDescent="0.3">
      <c r="A14">
        <v>181</v>
      </c>
    </row>
    <row r="15" spans="1:1" x14ac:dyDescent="0.3">
      <c r="A15">
        <v>442</v>
      </c>
    </row>
    <row r="16" spans="1:1" x14ac:dyDescent="0.3">
      <c r="A16">
        <v>41</v>
      </c>
    </row>
    <row r="17" spans="1:1" x14ac:dyDescent="0.3">
      <c r="A17">
        <v>51</v>
      </c>
    </row>
    <row r="18" spans="1:1" x14ac:dyDescent="0.3">
      <c r="A18">
        <v>34</v>
      </c>
    </row>
    <row r="19" spans="1:1" x14ac:dyDescent="0.3">
      <c r="A19">
        <v>45</v>
      </c>
    </row>
    <row r="20" spans="1:1" x14ac:dyDescent="0.3">
      <c r="A20">
        <v>719</v>
      </c>
    </row>
    <row r="21" spans="1:1" x14ac:dyDescent="0.3">
      <c r="A21">
        <v>377</v>
      </c>
    </row>
    <row r="22" spans="1:1" x14ac:dyDescent="0.3">
      <c r="A22">
        <v>212</v>
      </c>
    </row>
    <row r="23" spans="1:1" x14ac:dyDescent="0.3">
      <c r="A23">
        <v>883</v>
      </c>
    </row>
    <row r="24" spans="1:1" x14ac:dyDescent="0.3">
      <c r="A24">
        <v>379</v>
      </c>
    </row>
    <row r="25" spans="1:1" x14ac:dyDescent="0.3">
      <c r="A25">
        <v>821</v>
      </c>
    </row>
    <row r="26" spans="1:1" x14ac:dyDescent="0.3">
      <c r="A26">
        <v>332</v>
      </c>
    </row>
    <row r="27" spans="1:1" x14ac:dyDescent="0.3">
      <c r="A27">
        <v>712</v>
      </c>
    </row>
    <row r="28" spans="1:1" x14ac:dyDescent="0.3">
      <c r="A28">
        <v>348</v>
      </c>
    </row>
    <row r="29" spans="1:1" x14ac:dyDescent="0.3">
      <c r="A29">
        <v>660</v>
      </c>
    </row>
    <row r="30" spans="1:1" x14ac:dyDescent="0.3">
      <c r="A30">
        <v>44</v>
      </c>
    </row>
    <row r="31" spans="1:1" x14ac:dyDescent="0.3">
      <c r="A31">
        <v>560</v>
      </c>
    </row>
    <row r="32" spans="1:1" x14ac:dyDescent="0.3">
      <c r="A32">
        <v>224</v>
      </c>
    </row>
    <row r="33" spans="1:1" x14ac:dyDescent="0.3">
      <c r="A33">
        <v>728</v>
      </c>
    </row>
    <row r="34" spans="1:1" x14ac:dyDescent="0.3">
      <c r="A34">
        <v>822</v>
      </c>
    </row>
    <row r="35" spans="1:1" x14ac:dyDescent="0.3">
      <c r="A35">
        <v>551</v>
      </c>
    </row>
    <row r="36" spans="1:1" x14ac:dyDescent="0.3">
      <c r="A36">
        <v>102</v>
      </c>
    </row>
    <row r="37" spans="1:1" x14ac:dyDescent="0.3">
      <c r="A37">
        <v>304</v>
      </c>
    </row>
    <row r="38" spans="1:1" x14ac:dyDescent="0.3">
      <c r="A38">
        <v>975</v>
      </c>
    </row>
    <row r="39" spans="1:1" x14ac:dyDescent="0.3">
      <c r="A39">
        <v>518</v>
      </c>
    </row>
    <row r="40" spans="1:1" x14ac:dyDescent="0.3">
      <c r="A40">
        <v>208</v>
      </c>
    </row>
    <row r="41" spans="1:1" x14ac:dyDescent="0.3">
      <c r="A41">
        <v>590</v>
      </c>
    </row>
    <row r="42" spans="1:1" x14ac:dyDescent="0.3">
      <c r="A42">
        <v>438</v>
      </c>
    </row>
    <row r="43" spans="1:1" x14ac:dyDescent="0.3">
      <c r="A43">
        <v>382</v>
      </c>
    </row>
    <row r="44" spans="1:1" x14ac:dyDescent="0.3">
      <c r="A44">
        <v>931</v>
      </c>
    </row>
    <row r="45" spans="1:1" x14ac:dyDescent="0.3">
      <c r="A45">
        <v>342</v>
      </c>
    </row>
    <row r="46" spans="1:1" x14ac:dyDescent="0.3">
      <c r="A46">
        <v>318</v>
      </c>
    </row>
    <row r="47" spans="1:1" x14ac:dyDescent="0.3">
      <c r="A47">
        <v>835</v>
      </c>
    </row>
    <row r="48" spans="1:1" x14ac:dyDescent="0.3">
      <c r="A48">
        <v>202</v>
      </c>
    </row>
    <row r="49" spans="1:1" x14ac:dyDescent="0.3">
      <c r="A49">
        <v>108</v>
      </c>
    </row>
    <row r="50" spans="1:1" x14ac:dyDescent="0.3">
      <c r="A50">
        <v>193</v>
      </c>
    </row>
    <row r="51" spans="1:1" x14ac:dyDescent="0.3">
      <c r="A51">
        <v>902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23C0-5EE9-41CE-B032-A3BA4799702C}">
  <dimension ref="A1:P51"/>
  <sheetViews>
    <sheetView tabSelected="1" topLeftCell="A13" workbookViewId="0">
      <selection activeCell="M34" sqref="M34"/>
    </sheetView>
  </sheetViews>
  <sheetFormatPr defaultRowHeight="14.4" x14ac:dyDescent="0.3"/>
  <cols>
    <col min="1" max="2" width="11.5546875"/>
    <col min="3" max="3" width="15" customWidth="1"/>
    <col min="4" max="4" width="11.5546875"/>
    <col min="5" max="5" width="15.6640625" customWidth="1"/>
    <col min="6" max="6" width="11.5546875"/>
    <col min="7" max="7" width="11.88671875" customWidth="1"/>
    <col min="12" max="12" width="16.33203125" customWidth="1"/>
    <col min="13" max="13" width="8.6640625" customWidth="1"/>
    <col min="14" max="14" width="14.77734375" customWidth="1"/>
    <col min="16" max="16" width="11.6640625" customWidth="1"/>
  </cols>
  <sheetData>
    <row r="1" spans="1:7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>
        <v>0.96363636363636396</v>
      </c>
      <c r="B2">
        <v>1</v>
      </c>
      <c r="C2">
        <v>0.94545454545454499</v>
      </c>
      <c r="D2">
        <v>1</v>
      </c>
      <c r="E2">
        <v>0.94545454545454499</v>
      </c>
      <c r="F2">
        <v>0.92727272727272703</v>
      </c>
      <c r="G2">
        <v>1</v>
      </c>
    </row>
    <row r="3" spans="1:7" x14ac:dyDescent="0.3">
      <c r="A3">
        <v>0.96363636363636396</v>
      </c>
      <c r="B3">
        <v>0.98181818181818203</v>
      </c>
      <c r="C3">
        <v>0.90909090909090895</v>
      </c>
      <c r="D3">
        <v>0.90909090909090895</v>
      </c>
      <c r="E3">
        <v>0.90909090909090895</v>
      </c>
      <c r="F3">
        <v>0.90909090909090895</v>
      </c>
      <c r="G3">
        <v>0.90909090909090895</v>
      </c>
    </row>
    <row r="4" spans="1:7" x14ac:dyDescent="0.3">
      <c r="A4">
        <v>0.96363636363636396</v>
      </c>
      <c r="B4">
        <v>0.98181818181818203</v>
      </c>
      <c r="C4">
        <v>0.90909090909090895</v>
      </c>
      <c r="D4">
        <v>0.90909090909090895</v>
      </c>
      <c r="E4">
        <v>0.90909090909090895</v>
      </c>
      <c r="F4">
        <v>0.90909090909090895</v>
      </c>
      <c r="G4">
        <v>0.90909090909090895</v>
      </c>
    </row>
    <row r="5" spans="1:7" x14ac:dyDescent="0.3">
      <c r="A5">
        <v>0.96363636363636396</v>
      </c>
      <c r="B5">
        <v>0.96363636363636396</v>
      </c>
      <c r="C5">
        <v>0.92727272727272703</v>
      </c>
      <c r="D5">
        <v>0.92727272727272703</v>
      </c>
      <c r="E5">
        <v>0.92727272727272703</v>
      </c>
      <c r="F5">
        <v>0.89090909090909098</v>
      </c>
      <c r="G5">
        <v>0.92727272727272703</v>
      </c>
    </row>
    <row r="6" spans="1:7" x14ac:dyDescent="0.3">
      <c r="A6">
        <v>0.94545454545454499</v>
      </c>
      <c r="B6">
        <v>0.96363636363636396</v>
      </c>
      <c r="C6">
        <v>0.94545454545454499</v>
      </c>
      <c r="D6">
        <v>0.92727272727272703</v>
      </c>
      <c r="E6">
        <v>1</v>
      </c>
      <c r="F6">
        <v>0.85454545454545405</v>
      </c>
      <c r="G6">
        <v>0.98181818181818203</v>
      </c>
    </row>
    <row r="7" spans="1:7" x14ac:dyDescent="0.3">
      <c r="A7">
        <v>0.94545454545454499</v>
      </c>
      <c r="B7">
        <v>0.96363636363636396</v>
      </c>
      <c r="C7">
        <v>0.98181818181818203</v>
      </c>
      <c r="D7">
        <v>0.98181818181818203</v>
      </c>
      <c r="E7">
        <v>0.98181818181818203</v>
      </c>
      <c r="F7">
        <v>0.89090909090909098</v>
      </c>
      <c r="G7">
        <v>0.89090909090909098</v>
      </c>
    </row>
    <row r="8" spans="1:7" x14ac:dyDescent="0.3">
      <c r="A8">
        <v>0.94545454545454499</v>
      </c>
      <c r="B8">
        <v>0.96363636363636396</v>
      </c>
      <c r="C8">
        <v>0.92727272727272703</v>
      </c>
      <c r="D8">
        <v>0.94545454545454499</v>
      </c>
      <c r="E8">
        <v>0.98181818181818203</v>
      </c>
      <c r="F8">
        <v>0.94545454545454499</v>
      </c>
      <c r="G8">
        <v>0.94545454545454499</v>
      </c>
    </row>
    <row r="9" spans="1:7" x14ac:dyDescent="0.3">
      <c r="A9">
        <v>0.92727272727272703</v>
      </c>
      <c r="B9">
        <v>0.96363636363636396</v>
      </c>
      <c r="C9">
        <v>0.90909090909090895</v>
      </c>
      <c r="D9">
        <v>1</v>
      </c>
      <c r="E9">
        <v>0.92727272727272703</v>
      </c>
      <c r="F9">
        <v>0.85454545454545405</v>
      </c>
      <c r="G9">
        <v>0.98181818181818203</v>
      </c>
    </row>
    <row r="10" spans="1:7" x14ac:dyDescent="0.3">
      <c r="A10">
        <v>0.92727272727272703</v>
      </c>
      <c r="B10">
        <v>0.96363636363636396</v>
      </c>
      <c r="C10">
        <v>0.96363636363636396</v>
      </c>
      <c r="D10">
        <v>0.92727272727272703</v>
      </c>
      <c r="E10">
        <v>0.96363636363636396</v>
      </c>
      <c r="F10">
        <v>0.92727272727272703</v>
      </c>
      <c r="G10">
        <v>0.92727272727272703</v>
      </c>
    </row>
    <row r="11" spans="1:7" x14ac:dyDescent="0.3">
      <c r="A11">
        <v>0.92727272727272703</v>
      </c>
      <c r="B11">
        <v>0.94545454545454499</v>
      </c>
      <c r="C11">
        <v>0.89090909090909098</v>
      </c>
      <c r="D11">
        <v>0.89090909090909098</v>
      </c>
      <c r="E11">
        <v>0.94545454545454499</v>
      </c>
      <c r="F11">
        <v>0.90909090909090895</v>
      </c>
      <c r="G11">
        <v>0.89090909090909098</v>
      </c>
    </row>
    <row r="12" spans="1:7" x14ac:dyDescent="0.3">
      <c r="A12">
        <v>0.92727272727272703</v>
      </c>
      <c r="B12">
        <v>0.94545454545454499</v>
      </c>
      <c r="C12">
        <v>0.94545454545454499</v>
      </c>
      <c r="D12">
        <v>0.92727272727272703</v>
      </c>
      <c r="E12">
        <v>0.92727272727272703</v>
      </c>
      <c r="F12">
        <v>0.96363636363636396</v>
      </c>
      <c r="G12">
        <v>0.96363636363636396</v>
      </c>
    </row>
    <row r="13" spans="1:7" x14ac:dyDescent="0.3">
      <c r="A13">
        <v>0.92727272727272703</v>
      </c>
      <c r="B13">
        <v>0.94545454545454499</v>
      </c>
      <c r="C13">
        <v>0.94545454545454499</v>
      </c>
      <c r="D13">
        <v>0.92727272727272703</v>
      </c>
      <c r="E13">
        <v>0.92727272727272703</v>
      </c>
      <c r="F13">
        <v>0.83636363636363598</v>
      </c>
      <c r="G13">
        <v>0.83636363636363598</v>
      </c>
    </row>
    <row r="14" spans="1:7" x14ac:dyDescent="0.3">
      <c r="A14">
        <v>0.92727272727272703</v>
      </c>
      <c r="B14">
        <v>0.94545454545454499</v>
      </c>
      <c r="C14">
        <v>0.96363636363636396</v>
      </c>
      <c r="D14">
        <v>0.89090909090909098</v>
      </c>
      <c r="E14">
        <v>0.96363636363636396</v>
      </c>
      <c r="F14">
        <v>0.89090909090909098</v>
      </c>
      <c r="G14">
        <v>0.89090909090909098</v>
      </c>
    </row>
    <row r="15" spans="1:7" x14ac:dyDescent="0.3">
      <c r="A15">
        <v>0.92727272727272703</v>
      </c>
      <c r="B15">
        <v>0.94545454545454499</v>
      </c>
      <c r="C15">
        <v>0.96363636363636396</v>
      </c>
      <c r="D15">
        <v>0.96363636363636396</v>
      </c>
      <c r="E15">
        <v>0.96363636363636396</v>
      </c>
      <c r="F15">
        <v>0.96363636363636396</v>
      </c>
      <c r="G15">
        <v>0.96363636363636396</v>
      </c>
    </row>
    <row r="16" spans="1:7" x14ac:dyDescent="0.3">
      <c r="A16">
        <v>0.90909090909090895</v>
      </c>
      <c r="B16">
        <v>0.94545454545454499</v>
      </c>
      <c r="C16">
        <v>0.92727272727272703</v>
      </c>
      <c r="D16">
        <v>0.96363636363636396</v>
      </c>
      <c r="E16">
        <v>0.92727272727272703</v>
      </c>
      <c r="F16">
        <v>0.90909090909090895</v>
      </c>
      <c r="G16">
        <v>0.96363636363636396</v>
      </c>
    </row>
    <row r="17" spans="1:16" x14ac:dyDescent="0.3">
      <c r="A17">
        <v>0.90909090909090895</v>
      </c>
      <c r="B17">
        <v>0.94545454545454499</v>
      </c>
      <c r="C17">
        <v>0.90909090909090895</v>
      </c>
      <c r="D17">
        <v>0.98181818181818203</v>
      </c>
      <c r="E17">
        <v>0.96363636363636396</v>
      </c>
      <c r="F17">
        <v>0.90909090909090895</v>
      </c>
      <c r="G17">
        <v>0.90909090909090895</v>
      </c>
    </row>
    <row r="18" spans="1:16" x14ac:dyDescent="0.3">
      <c r="A18">
        <v>0.90909090909090895</v>
      </c>
      <c r="B18">
        <v>0.94545454545454499</v>
      </c>
      <c r="C18">
        <v>0.94545454545454499</v>
      </c>
      <c r="D18">
        <v>0.94545454545454499</v>
      </c>
      <c r="E18">
        <v>0.94545454545454499</v>
      </c>
      <c r="F18">
        <v>0.94545454545454499</v>
      </c>
      <c r="G18">
        <v>0.94545454545454499</v>
      </c>
      <c r="I18" s="4"/>
      <c r="J18" s="3" t="s">
        <v>20</v>
      </c>
      <c r="K18" s="3"/>
      <c r="L18" s="3"/>
      <c r="M18" s="3"/>
      <c r="N18" s="3"/>
      <c r="O18" s="3"/>
      <c r="P18" s="3"/>
    </row>
    <row r="19" spans="1:16" x14ac:dyDescent="0.3">
      <c r="A19">
        <v>0.90909090909090895</v>
      </c>
      <c r="B19">
        <v>0.94545454545454499</v>
      </c>
      <c r="C19">
        <v>0.94545454545454499</v>
      </c>
      <c r="D19">
        <v>0.94545454545454499</v>
      </c>
      <c r="E19">
        <v>0.90909090909090895</v>
      </c>
      <c r="F19">
        <v>0.90909090909090895</v>
      </c>
      <c r="G19">
        <v>0.94545454545454499</v>
      </c>
      <c r="I19" s="4"/>
      <c r="J19" s="1" t="s">
        <v>13</v>
      </c>
      <c r="K19" s="1" t="s">
        <v>14</v>
      </c>
      <c r="L19" s="1" t="s">
        <v>15</v>
      </c>
      <c r="M19" s="1" t="s">
        <v>16</v>
      </c>
      <c r="N19" s="1" t="s">
        <v>17</v>
      </c>
      <c r="O19" s="1" t="s">
        <v>18</v>
      </c>
      <c r="P19" s="1" t="s">
        <v>19</v>
      </c>
    </row>
    <row r="20" spans="1:16" x14ac:dyDescent="0.3">
      <c r="A20">
        <v>0.90909090909090895</v>
      </c>
      <c r="B20">
        <v>0.92727272727272703</v>
      </c>
      <c r="C20">
        <v>0.98181818181818203</v>
      </c>
      <c r="D20">
        <v>0.94545454545454499</v>
      </c>
      <c r="E20">
        <v>0.92727272727272703</v>
      </c>
      <c r="F20">
        <v>0.94545454545454499</v>
      </c>
      <c r="G20">
        <v>0.94545454545454499</v>
      </c>
      <c r="I20" s="1" t="s">
        <v>21</v>
      </c>
      <c r="J20" s="2">
        <f>AVERAGE(Table1[depth])</f>
        <v>4.0199999999999996</v>
      </c>
      <c r="K20" s="2">
        <f>AVERAGE(Table2[depth])</f>
        <v>3.44</v>
      </c>
      <c r="L20" s="2">
        <f>AVERAGE(Table3[depth])</f>
        <v>3.66</v>
      </c>
      <c r="M20" s="2">
        <f>AVERAGE(Table4[depth])</f>
        <v>3.42</v>
      </c>
      <c r="N20" s="2">
        <f>AVERAGE(Table5[depth])</f>
        <v>4.2</v>
      </c>
      <c r="O20" s="2">
        <f>AVERAGE(Table6[depth])</f>
        <v>3.86</v>
      </c>
      <c r="P20" s="2">
        <f>AVERAGE(Table7[depth])</f>
        <v>3.3</v>
      </c>
    </row>
    <row r="21" spans="1:16" x14ac:dyDescent="0.3">
      <c r="A21">
        <v>0.90909090909090895</v>
      </c>
      <c r="B21">
        <v>0.92727272727272703</v>
      </c>
      <c r="C21">
        <v>0.92727272727272703</v>
      </c>
      <c r="D21">
        <v>0.92727272727272703</v>
      </c>
      <c r="E21">
        <v>0.98181818181818203</v>
      </c>
      <c r="F21">
        <v>0.92727272727272703</v>
      </c>
      <c r="G21">
        <v>0.92727272727272703</v>
      </c>
      <c r="I21" s="1" t="s">
        <v>22</v>
      </c>
      <c r="J21" s="2">
        <f>_xlfn.STDEV.S(Table1[depth])</f>
        <v>0.9365590516047867</v>
      </c>
      <c r="K21" s="2">
        <f>_xlfn.STDEV.S(Table2[depth])</f>
        <v>0.83690391519296115</v>
      </c>
      <c r="L21" s="2">
        <f>_xlfn.STDEV.S(Table3[depth])</f>
        <v>0.91718290967283012</v>
      </c>
      <c r="M21" s="2">
        <f>_xlfn.STDEV.S(Table4[depth])</f>
        <v>0.60911444586650898</v>
      </c>
      <c r="N21" s="2">
        <f>_xlfn.STDEV.S(Table5[depth])</f>
        <v>1.5779087167410373</v>
      </c>
      <c r="O21" s="2">
        <f>_xlfn.STDEV.S(Table6[depth])</f>
        <v>2.4661793966227457</v>
      </c>
      <c r="P21" s="2">
        <f>_xlfn.STDEV.S(Table7[depth])</f>
        <v>0.50507627227610541</v>
      </c>
    </row>
    <row r="22" spans="1:16" x14ac:dyDescent="0.3">
      <c r="A22">
        <v>0.90909090909090895</v>
      </c>
      <c r="B22">
        <v>0.92727272727272703</v>
      </c>
      <c r="C22">
        <v>0.90909090909090895</v>
      </c>
      <c r="D22">
        <v>0.96363636363636396</v>
      </c>
      <c r="E22">
        <v>0.90909090909090895</v>
      </c>
      <c r="F22">
        <v>0.90909090909090895</v>
      </c>
      <c r="G22">
        <v>0.90909090909090895</v>
      </c>
    </row>
    <row r="23" spans="1:16" x14ac:dyDescent="0.3">
      <c r="A23">
        <v>0.90909090909090895</v>
      </c>
      <c r="B23">
        <v>0.92727272727272703</v>
      </c>
      <c r="C23">
        <v>0.94545454545454499</v>
      </c>
      <c r="D23">
        <v>0.96363636363636396</v>
      </c>
      <c r="E23">
        <v>0.96363636363636396</v>
      </c>
      <c r="F23">
        <v>0.87272727272727302</v>
      </c>
      <c r="G23">
        <v>1</v>
      </c>
      <c r="I23" s="4"/>
      <c r="J23" s="3" t="s">
        <v>23</v>
      </c>
      <c r="K23" s="3"/>
      <c r="L23" s="3"/>
      <c r="M23" s="3"/>
      <c r="N23" s="3"/>
      <c r="O23" s="3"/>
      <c r="P23" s="3"/>
    </row>
    <row r="24" spans="1:16" x14ac:dyDescent="0.3">
      <c r="A24">
        <v>0.90909090909090895</v>
      </c>
      <c r="B24">
        <v>0.92727272727272703</v>
      </c>
      <c r="C24">
        <v>0.90909090909090895</v>
      </c>
      <c r="D24">
        <v>0.90909090909090895</v>
      </c>
      <c r="E24">
        <v>0.90909090909090895</v>
      </c>
      <c r="F24">
        <v>0.89090909090909098</v>
      </c>
      <c r="G24">
        <v>0.89090909090909098</v>
      </c>
      <c r="I24" s="4"/>
      <c r="J24" s="1" t="s">
        <v>13</v>
      </c>
      <c r="K24" s="1" t="s">
        <v>14</v>
      </c>
      <c r="L24" s="1" t="s">
        <v>15</v>
      </c>
      <c r="M24" s="1" t="s">
        <v>16</v>
      </c>
      <c r="N24" s="1" t="s">
        <v>17</v>
      </c>
      <c r="O24" s="1" t="s">
        <v>18</v>
      </c>
      <c r="P24" s="1" t="s">
        <v>19</v>
      </c>
    </row>
    <row r="25" spans="1:16" x14ac:dyDescent="0.3">
      <c r="A25">
        <v>0.90909090909090895</v>
      </c>
      <c r="B25">
        <v>0.92727272727272703</v>
      </c>
      <c r="C25">
        <v>0.92727272727272703</v>
      </c>
      <c r="D25">
        <v>0.94545454545454499</v>
      </c>
      <c r="E25">
        <v>0.94545454545454499</v>
      </c>
      <c r="F25">
        <v>0.92727272727272703</v>
      </c>
      <c r="G25">
        <v>0.92727272727272703</v>
      </c>
      <c r="I25" s="1" t="s">
        <v>21</v>
      </c>
      <c r="J25" s="2">
        <f>AVERAGE(Table1[leaves])</f>
        <v>6.36</v>
      </c>
      <c r="K25" s="2">
        <f>AVERAGE(Table2[leaves])</f>
        <v>5.84</v>
      </c>
      <c r="L25" s="2">
        <f>AVERAGE(Table3[leaves])</f>
        <v>5.14</v>
      </c>
      <c r="M25" s="2">
        <f>AVERAGE(Table4[leaves])</f>
        <v>5.4</v>
      </c>
      <c r="N25" s="2">
        <f>AVERAGE(Table5[leaves])</f>
        <v>5.58</v>
      </c>
      <c r="O25" s="2">
        <f>AVERAGE(Table6[leaves])</f>
        <v>6.22</v>
      </c>
      <c r="P25" s="2">
        <f>AVERAGE(Table7[leaves])</f>
        <v>5.68</v>
      </c>
    </row>
    <row r="26" spans="1:16" x14ac:dyDescent="0.3">
      <c r="A26">
        <v>0.89090909090909098</v>
      </c>
      <c r="B26">
        <v>0.92727272727272703</v>
      </c>
      <c r="C26">
        <v>0.92727272727272703</v>
      </c>
      <c r="D26">
        <v>0.96363636363636396</v>
      </c>
      <c r="E26">
        <v>0.96363636363636396</v>
      </c>
      <c r="F26">
        <v>0.96363636363636396</v>
      </c>
      <c r="G26">
        <v>0.96363636363636396</v>
      </c>
      <c r="I26" s="1" t="s">
        <v>22</v>
      </c>
      <c r="J26" s="2">
        <f>_xlfn.STDEV.S(Table1[leaves])</f>
        <v>0.9847821679779476</v>
      </c>
      <c r="K26" s="2">
        <f>_xlfn.STDEV.S(Table2[leaves])</f>
        <v>1.1131862707873235</v>
      </c>
      <c r="L26" s="2">
        <f>_xlfn.STDEV.S(Table3[leaves])</f>
        <v>0.88086228625531382</v>
      </c>
      <c r="M26" s="2">
        <f>_xlfn.STDEV.S(Table4[leaves])</f>
        <v>0.83299312783504287</v>
      </c>
      <c r="N26" s="2">
        <f>_xlfn.STDEV.S(Table5[leaves])</f>
        <v>1.4581229197086207</v>
      </c>
      <c r="O26" s="2">
        <f>_xlfn.STDEV.S(Table6[leaves])</f>
        <v>2.8377196939134928</v>
      </c>
      <c r="P26" s="2">
        <f>_xlfn.STDEV.S(Table7[leaves])</f>
        <v>0.76771593385968162</v>
      </c>
    </row>
    <row r="27" spans="1:16" x14ac:dyDescent="0.3">
      <c r="A27">
        <v>0.89090909090909098</v>
      </c>
      <c r="B27">
        <v>0.92727272727272703</v>
      </c>
      <c r="C27">
        <v>0.92727272727272703</v>
      </c>
      <c r="D27">
        <v>0.92727272727272703</v>
      </c>
      <c r="E27">
        <v>0.92727272727272703</v>
      </c>
      <c r="F27">
        <v>0.92727272727272703</v>
      </c>
      <c r="G27">
        <v>0.92727272727272703</v>
      </c>
    </row>
    <row r="28" spans="1:16" x14ac:dyDescent="0.3">
      <c r="A28">
        <v>0.89090909090909098</v>
      </c>
      <c r="B28">
        <v>0.92727272727272703</v>
      </c>
      <c r="C28">
        <v>0.85454545454545405</v>
      </c>
      <c r="D28">
        <v>0.92727272727272703</v>
      </c>
      <c r="E28">
        <v>0.85454545454545405</v>
      </c>
      <c r="F28">
        <v>0.87272727272727302</v>
      </c>
      <c r="G28">
        <v>0.85454545454545405</v>
      </c>
    </row>
    <row r="29" spans="1:16" x14ac:dyDescent="0.3">
      <c r="A29">
        <v>0.89090909090909098</v>
      </c>
      <c r="B29">
        <v>0.92727272727272703</v>
      </c>
      <c r="C29">
        <v>0.96363636363636396</v>
      </c>
      <c r="D29">
        <v>0.92727272727272703</v>
      </c>
      <c r="E29">
        <v>0.94545454545454499</v>
      </c>
      <c r="F29">
        <v>0.94545454545454499</v>
      </c>
      <c r="G29">
        <v>0.90909090909090895</v>
      </c>
      <c r="I29" s="4"/>
      <c r="J29" s="3" t="s">
        <v>24</v>
      </c>
      <c r="K29" s="3"/>
      <c r="L29" s="3"/>
      <c r="M29" s="3"/>
      <c r="N29" s="3"/>
      <c r="O29" s="3"/>
      <c r="P29" s="3"/>
    </row>
    <row r="30" spans="1:16" x14ac:dyDescent="0.3">
      <c r="A30">
        <v>0.89090909090909098</v>
      </c>
      <c r="B30">
        <v>0.90909090909090895</v>
      </c>
      <c r="C30">
        <v>0.92727272727272703</v>
      </c>
      <c r="D30">
        <v>0.92727272727272703</v>
      </c>
      <c r="E30">
        <v>0.92727272727272703</v>
      </c>
      <c r="F30">
        <v>0.96363636363636396</v>
      </c>
      <c r="G30">
        <v>0.96363636363636396</v>
      </c>
      <c r="I30" s="4"/>
      <c r="J30" s="1" t="s">
        <v>13</v>
      </c>
      <c r="K30" s="1" t="s">
        <v>14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</row>
    <row r="31" spans="1:16" x14ac:dyDescent="0.3">
      <c r="A31">
        <v>0.89090909090909098</v>
      </c>
      <c r="B31">
        <v>0.90909090909090895</v>
      </c>
      <c r="C31">
        <v>0.98181818181818203</v>
      </c>
      <c r="D31">
        <v>0.92727272727272703</v>
      </c>
      <c r="E31">
        <v>0.98181818181818203</v>
      </c>
      <c r="F31">
        <v>0.92727272727272703</v>
      </c>
      <c r="G31">
        <v>0.94545454545454499</v>
      </c>
      <c r="I31" s="1" t="s">
        <v>21</v>
      </c>
      <c r="J31" s="2">
        <f>AVERAGE(Table1[accuracy])</f>
        <v>0.89563636363636401</v>
      </c>
      <c r="K31" s="2">
        <f>AVERAGE(Table2[accuracy])</f>
        <v>0.92036363636363616</v>
      </c>
      <c r="L31" s="2">
        <f>AVERAGE(Table3[accuracy])</f>
        <v>0.93345454545454531</v>
      </c>
      <c r="M31" s="2">
        <f>AVERAGE(Table4[accuracy])</f>
        <v>0.9356363636363636</v>
      </c>
      <c r="N31" s="2">
        <f>AVERAGE(Table5[accuracy])</f>
        <v>0.93563636363636349</v>
      </c>
      <c r="O31" s="2">
        <f>AVERAGE(Table6[accuracy])</f>
        <v>0.91709090909090885</v>
      </c>
      <c r="P31" s="2">
        <f>AVERAGE(Table7[accuracy])</f>
        <v>0.93090909090909091</v>
      </c>
    </row>
    <row r="32" spans="1:16" x14ac:dyDescent="0.3">
      <c r="A32">
        <v>0.89090909090909098</v>
      </c>
      <c r="B32">
        <v>0.90909090909090895</v>
      </c>
      <c r="C32">
        <v>0.89090909090909098</v>
      </c>
      <c r="D32">
        <v>0.89090909090909098</v>
      </c>
      <c r="E32">
        <v>0.89090909090909098</v>
      </c>
      <c r="F32">
        <v>0.89090909090909098</v>
      </c>
      <c r="G32">
        <v>0.89090909090909098</v>
      </c>
      <c r="I32" s="1" t="s">
        <v>22</v>
      </c>
      <c r="J32" s="2">
        <f>_xlfn.STDEV.S(Table1[accuracy])</f>
        <v>3.8492419845503244E-2</v>
      </c>
      <c r="K32" s="2">
        <f>_xlfn.STDEV.S(Table2[accuracy])</f>
        <v>3.7977188206672279E-2</v>
      </c>
      <c r="L32" s="2">
        <f>_xlfn.STDEV.S(Table3[accuracy])</f>
        <v>3.1084300960995896E-2</v>
      </c>
      <c r="M32" s="2">
        <f>_xlfn.STDEV.S(Table4[accuracy])</f>
        <v>3.4694532352218678E-2</v>
      </c>
      <c r="N32" s="2">
        <f>_xlfn.STDEV.S(Table5[accuracy])</f>
        <v>3.3305548660804894E-2</v>
      </c>
      <c r="O32" s="2">
        <f>_xlfn.STDEV.S(Table6[accuracy])</f>
        <v>3.4489751008203298E-2</v>
      </c>
      <c r="P32" s="2">
        <f>_xlfn.STDEV.S(Table7[accuracy])</f>
        <v>3.7460272991833729E-2</v>
      </c>
    </row>
    <row r="33" spans="1:7" x14ac:dyDescent="0.3">
      <c r="A33">
        <v>0.87272727272727302</v>
      </c>
      <c r="B33">
        <v>0.90909090909090895</v>
      </c>
      <c r="C33">
        <v>1</v>
      </c>
      <c r="D33">
        <v>0.98181818181818203</v>
      </c>
      <c r="E33">
        <v>0.89090909090909098</v>
      </c>
      <c r="F33">
        <v>0.92727272727272703</v>
      </c>
      <c r="G33">
        <v>0.92727272727272703</v>
      </c>
    </row>
    <row r="34" spans="1:7" x14ac:dyDescent="0.3">
      <c r="A34">
        <v>0.87272727272727302</v>
      </c>
      <c r="B34">
        <v>0.90909090909090895</v>
      </c>
      <c r="C34">
        <v>0.94545454545454499</v>
      </c>
      <c r="D34">
        <v>0.89090909090909098</v>
      </c>
      <c r="E34">
        <v>0.96363636363636396</v>
      </c>
      <c r="F34">
        <v>0.89090909090909098</v>
      </c>
      <c r="G34">
        <v>0.89090909090909098</v>
      </c>
    </row>
    <row r="35" spans="1:7" x14ac:dyDescent="0.3">
      <c r="A35">
        <v>0.87272727272727302</v>
      </c>
      <c r="B35">
        <v>0.90909090909090895</v>
      </c>
      <c r="C35">
        <v>0.98181818181818203</v>
      </c>
      <c r="D35">
        <v>0.96363636363636396</v>
      </c>
      <c r="E35">
        <v>0.94545454545454499</v>
      </c>
      <c r="F35">
        <v>0.92727272727272703</v>
      </c>
      <c r="G35">
        <v>0.96363636363636396</v>
      </c>
    </row>
    <row r="36" spans="1:7" x14ac:dyDescent="0.3">
      <c r="A36">
        <v>0.87272727272727302</v>
      </c>
      <c r="B36">
        <v>0.90909090909090895</v>
      </c>
      <c r="C36">
        <v>0.96363636363636396</v>
      </c>
      <c r="D36">
        <v>0.96363636363636396</v>
      </c>
      <c r="E36">
        <v>0.96363636363636396</v>
      </c>
      <c r="F36">
        <v>0.96363636363636396</v>
      </c>
      <c r="G36">
        <v>0.96363636363636396</v>
      </c>
    </row>
    <row r="37" spans="1:7" x14ac:dyDescent="0.3">
      <c r="A37">
        <v>0.87272727272727302</v>
      </c>
      <c r="B37">
        <v>0.89090909090909098</v>
      </c>
      <c r="C37">
        <v>0.96363636363636396</v>
      </c>
      <c r="D37">
        <v>0.96363636363636396</v>
      </c>
      <c r="E37">
        <v>0.96363636363636396</v>
      </c>
      <c r="F37">
        <v>0.90909090909090895</v>
      </c>
      <c r="G37">
        <v>0.96363636363636396</v>
      </c>
    </row>
    <row r="38" spans="1:7" x14ac:dyDescent="0.3">
      <c r="A38">
        <v>0.87272727272727302</v>
      </c>
      <c r="B38">
        <v>0.89090909090909098</v>
      </c>
      <c r="C38">
        <v>0.90909090909090895</v>
      </c>
      <c r="D38">
        <v>1</v>
      </c>
      <c r="E38">
        <v>0.90909090909090895</v>
      </c>
      <c r="F38">
        <v>0.94545454545454499</v>
      </c>
      <c r="G38">
        <v>0.98181818181818203</v>
      </c>
    </row>
    <row r="39" spans="1:7" x14ac:dyDescent="0.3">
      <c r="A39">
        <v>0.87272727272727302</v>
      </c>
      <c r="B39">
        <v>0.89090909090909098</v>
      </c>
      <c r="C39">
        <v>0.87272727272727302</v>
      </c>
      <c r="D39">
        <v>0.87272727272727302</v>
      </c>
      <c r="E39">
        <v>0.87272727272727302</v>
      </c>
      <c r="F39">
        <v>0.85454545454545405</v>
      </c>
      <c r="G39">
        <v>0.89090909090909098</v>
      </c>
    </row>
    <row r="40" spans="1:7" x14ac:dyDescent="0.3">
      <c r="A40">
        <v>0.87272727272727302</v>
      </c>
      <c r="B40">
        <v>0.89090909090909098</v>
      </c>
      <c r="C40">
        <v>0.90909090909090895</v>
      </c>
      <c r="D40">
        <v>0.90909090909090895</v>
      </c>
      <c r="E40">
        <v>0.90909090909090895</v>
      </c>
      <c r="F40">
        <v>0.89090909090909098</v>
      </c>
      <c r="G40">
        <v>0.92727272727272703</v>
      </c>
    </row>
    <row r="41" spans="1:7" x14ac:dyDescent="0.3">
      <c r="A41">
        <v>0.87272727272727302</v>
      </c>
      <c r="B41">
        <v>0.89090909090909098</v>
      </c>
      <c r="C41">
        <v>0.96363636363636396</v>
      </c>
      <c r="D41">
        <v>0.92727272727272703</v>
      </c>
      <c r="E41">
        <v>0.96363636363636396</v>
      </c>
      <c r="F41">
        <v>0.89090909090909098</v>
      </c>
      <c r="G41">
        <v>0.87272727272727302</v>
      </c>
    </row>
    <row r="42" spans="1:7" x14ac:dyDescent="0.3">
      <c r="A42">
        <v>0.87272727272727302</v>
      </c>
      <c r="B42">
        <v>0.89090909090909098</v>
      </c>
      <c r="C42">
        <v>0.94545454545454499</v>
      </c>
      <c r="D42">
        <v>0.94545454545454499</v>
      </c>
      <c r="E42">
        <v>0.85454545454545405</v>
      </c>
      <c r="F42">
        <v>0.94545454545454499</v>
      </c>
      <c r="G42">
        <v>0.94545454545454499</v>
      </c>
    </row>
    <row r="43" spans="1:7" x14ac:dyDescent="0.3">
      <c r="A43">
        <v>0.87272727272727302</v>
      </c>
      <c r="B43">
        <v>0.89090909090909098</v>
      </c>
      <c r="C43">
        <v>0.89090909090909098</v>
      </c>
      <c r="D43">
        <v>0.89090909090909098</v>
      </c>
      <c r="E43">
        <v>0.89090909090909098</v>
      </c>
      <c r="F43">
        <v>0.89090909090909098</v>
      </c>
      <c r="G43">
        <v>0.89090909090909098</v>
      </c>
    </row>
    <row r="44" spans="1:7" x14ac:dyDescent="0.3">
      <c r="A44">
        <v>0.85454545454545405</v>
      </c>
      <c r="B44">
        <v>0.89090909090909098</v>
      </c>
      <c r="C44">
        <v>0.90909090909090895</v>
      </c>
      <c r="D44">
        <v>0.87272727272727302</v>
      </c>
      <c r="E44">
        <v>0.98181818181818203</v>
      </c>
      <c r="F44">
        <v>0.87272727272727302</v>
      </c>
      <c r="G44">
        <v>0.87272727272727302</v>
      </c>
    </row>
    <row r="45" spans="1:7" x14ac:dyDescent="0.3">
      <c r="A45">
        <v>0.85454545454545405</v>
      </c>
      <c r="B45">
        <v>0.89090909090909098</v>
      </c>
      <c r="C45">
        <v>0.87272727272727302</v>
      </c>
      <c r="D45">
        <v>0.87272727272727302</v>
      </c>
      <c r="E45">
        <v>0.94545454545454499</v>
      </c>
      <c r="F45">
        <v>0.94545454545454499</v>
      </c>
      <c r="G45">
        <v>0.94545454545454499</v>
      </c>
    </row>
    <row r="46" spans="1:7" x14ac:dyDescent="0.3">
      <c r="A46">
        <v>0.83636363636363598</v>
      </c>
      <c r="B46">
        <v>0.87272727272727302</v>
      </c>
      <c r="C46">
        <v>0.92727272727272703</v>
      </c>
      <c r="D46">
        <v>0.89090909090909098</v>
      </c>
      <c r="E46">
        <v>0.90909090909090895</v>
      </c>
      <c r="F46">
        <v>0.94545454545454499</v>
      </c>
      <c r="G46">
        <v>0.94545454545454499</v>
      </c>
    </row>
    <row r="47" spans="1:7" x14ac:dyDescent="0.3">
      <c r="A47">
        <v>0.83636363636363598</v>
      </c>
      <c r="B47">
        <v>0.87272727272727302</v>
      </c>
      <c r="C47">
        <v>0.92727272727272703</v>
      </c>
      <c r="D47">
        <v>0.92727272727272703</v>
      </c>
      <c r="E47">
        <v>0.94545454545454499</v>
      </c>
      <c r="F47">
        <v>0.92727272727272703</v>
      </c>
      <c r="G47">
        <v>0.92727272727272703</v>
      </c>
    </row>
    <row r="48" spans="1:7" x14ac:dyDescent="0.3">
      <c r="A48">
        <v>0.83636363636363598</v>
      </c>
      <c r="B48">
        <v>0.85454545454545405</v>
      </c>
      <c r="C48">
        <v>0.92727272727272703</v>
      </c>
      <c r="D48">
        <v>0.92727272727272703</v>
      </c>
      <c r="E48">
        <v>0.92727272727272703</v>
      </c>
      <c r="F48">
        <v>0.92727272727272703</v>
      </c>
      <c r="G48">
        <v>0.98181818181818203</v>
      </c>
    </row>
    <row r="49" spans="1:7" x14ac:dyDescent="0.3">
      <c r="A49">
        <v>0.81818181818181801</v>
      </c>
      <c r="B49">
        <v>0.85454545454545405</v>
      </c>
      <c r="C49">
        <v>0.94545454545454499</v>
      </c>
      <c r="D49">
        <v>1</v>
      </c>
      <c r="E49">
        <v>0.92727272727272703</v>
      </c>
      <c r="F49">
        <v>1</v>
      </c>
      <c r="G49">
        <v>0.94545454545454499</v>
      </c>
    </row>
    <row r="50" spans="1:7" x14ac:dyDescent="0.3">
      <c r="A50">
        <v>0.81818181818181801</v>
      </c>
      <c r="B50">
        <v>0.83636363636363598</v>
      </c>
      <c r="C50">
        <v>0.96363636363636396</v>
      </c>
      <c r="D50">
        <v>0.96363636363636396</v>
      </c>
      <c r="E50">
        <v>0.96363636363636396</v>
      </c>
      <c r="F50">
        <v>0.96363636363636396</v>
      </c>
      <c r="G50">
        <v>0.96363636363636396</v>
      </c>
    </row>
    <row r="51" spans="1:7" x14ac:dyDescent="0.3">
      <c r="A51">
        <v>0.81818181818181801</v>
      </c>
      <c r="B51">
        <v>0.81818181818181801</v>
      </c>
      <c r="C51">
        <v>0.92727272727272703</v>
      </c>
      <c r="D51">
        <v>0.90909090909090895</v>
      </c>
      <c r="E51">
        <v>0.90909090909090895</v>
      </c>
      <c r="F51">
        <v>0.92727272727272703</v>
      </c>
      <c r="G51">
        <v>0.90909090909090895</v>
      </c>
    </row>
  </sheetData>
  <mergeCells count="6">
    <mergeCell ref="J18:P18"/>
    <mergeCell ref="I18:I19"/>
    <mergeCell ref="I23:I24"/>
    <mergeCell ref="J23:P23"/>
    <mergeCell ref="I29:I30"/>
    <mergeCell ref="J29:P2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2025-11-26T18:17:51Z</dcterms:created>
  <dcterms:modified xsi:type="dcterms:W3CDTF">2025-12-17T20:42:10Z</dcterms:modified>
</cp:coreProperties>
</file>