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Π.Μ.Σ Στατιστική-Χρηματοοικονομικά και Αναλογιστικά Μαθηματικά\ΜΑΘΗΜΑΤΑ 2ου Εξαμήνου\Εφαρμοσμένη Πολυμεταβλητή Ανάλυση και Big Data\Πτυχιακή\"/>
    </mc:Choice>
  </mc:AlternateContent>
  <xr:revisionPtr revIDLastSave="0" documentId="13_ncr:1_{E9939964-A966-4ADF-8443-FED0F9DDCD10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annon" sheetId="1" r:id="rId1"/>
    <sheet name="Renyi" sheetId="2" r:id="rId2"/>
    <sheet name="Sharma_Mittal" sheetId="3" r:id="rId3"/>
    <sheet name="Tsallis" sheetId="4" r:id="rId4"/>
    <sheet name="Sharma_Taneja" sheetId="5" r:id="rId5"/>
    <sheet name="Kapur" sheetId="6" r:id="rId6"/>
    <sheet name="Kaniadakis" sheetId="7" r:id="rId7"/>
    <sheet name="index" sheetId="8" r:id="rId8"/>
    <sheet name="Summary" sheetId="9" r:id="rId9"/>
  </sheets>
  <definedNames>
    <definedName name="_xlchart.v1.0" hidden="1">Summary!$A$1</definedName>
    <definedName name="_xlchart.v1.1" hidden="1">Summary!$A$2:$A$52</definedName>
    <definedName name="_xlchart.v1.10" hidden="1">Summary!$F$1</definedName>
    <definedName name="_xlchart.v1.11" hidden="1">Summary!$F$2:$F$52</definedName>
    <definedName name="_xlchart.v1.12" hidden="1">Summary!$G$1</definedName>
    <definedName name="_xlchart.v1.13" hidden="1">Summary!$G$2:$G$52</definedName>
    <definedName name="_xlchart.v1.2" hidden="1">Summary!$B$1</definedName>
    <definedName name="_xlchart.v1.3" hidden="1">Summary!$B$2:$B$52</definedName>
    <definedName name="_xlchart.v1.4" hidden="1">Summary!$C$1</definedName>
    <definedName name="_xlchart.v1.5" hidden="1">Summary!$C$2:$C$52</definedName>
    <definedName name="_xlchart.v1.6" hidden="1">Summary!$D$1</definedName>
    <definedName name="_xlchart.v1.7" hidden="1">Summary!$D$2:$D$52</definedName>
    <definedName name="_xlchart.v1.8" hidden="1">Summary!$E$1</definedName>
    <definedName name="_xlchart.v1.9" hidden="1">Summary!$E$2:$E$52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9" l="1"/>
  <c r="P29" i="9"/>
  <c r="P28" i="9"/>
  <c r="O29" i="9"/>
  <c r="O28" i="9"/>
  <c r="N29" i="9"/>
  <c r="N28" i="9"/>
  <c r="M29" i="9"/>
  <c r="M28" i="9"/>
  <c r="L29" i="9"/>
  <c r="L28" i="9"/>
  <c r="K29" i="9"/>
  <c r="K28" i="9"/>
  <c r="J29" i="9"/>
  <c r="P24" i="9"/>
  <c r="O24" i="9"/>
  <c r="N24" i="9"/>
  <c r="M24" i="9"/>
  <c r="L24" i="9"/>
  <c r="K24" i="9"/>
  <c r="K23" i="9"/>
  <c r="J24" i="9"/>
  <c r="P23" i="9"/>
  <c r="O23" i="9"/>
  <c r="N23" i="9"/>
  <c r="M23" i="9"/>
  <c r="L23" i="9"/>
  <c r="J23" i="9"/>
</calcChain>
</file>

<file path=xl/sharedStrings.xml><?xml version="1.0" encoding="utf-8"?>
<sst xmlns="http://schemas.openxmlformats.org/spreadsheetml/2006/main" count="79" uniqueCount="20">
  <si>
    <t>accuracy</t>
  </si>
  <si>
    <t>depth</t>
  </si>
  <si>
    <t>leaves</t>
  </si>
  <si>
    <t>recall_1</t>
  </si>
  <si>
    <t>f1_1</t>
  </si>
  <si>
    <t>entropy_parameter</t>
  </si>
  <si>
    <t>entropy_parameter_one</t>
  </si>
  <si>
    <t>entropy_parameter_two</t>
  </si>
  <si>
    <t>seed</t>
  </si>
  <si>
    <t>Shannon</t>
  </si>
  <si>
    <t>Renyi</t>
  </si>
  <si>
    <t>Sharma-Mittal</t>
  </si>
  <si>
    <t>Tsallis</t>
  </si>
  <si>
    <t>Sharma-Taneja</t>
  </si>
  <si>
    <t>Kapur</t>
  </si>
  <si>
    <t>Kaniadakis</t>
  </si>
  <si>
    <t>Depth</t>
  </si>
  <si>
    <t>Mean</t>
  </si>
  <si>
    <t>SD</t>
  </si>
  <si>
    <t>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</si>
</sst>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charset val="161"/>
      <scheme val="minor"/>
    </font>
    <font>
      <b/>
      <sz val="11"/>
      <color rgb="FF000000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</cx:chartData>
  <cx:chart>
    <cx:title pos="t" align="ctr" overlay="0">
      <cx:tx>
        <cx:txData>
          <cx:v>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Accuracy</a:t>
          </a:r>
        </a:p>
      </cx:txPr>
    </cx:title>
    <cx:plotArea>
      <cx:plotAreaRegion>
        <cx:series layoutId="boxWhisker" uniqueId="{CE2444C5-739A-43BD-B30B-58617B58B3A4}">
          <cx:tx>
            <cx:txData>
              <cx:f>_xlchart.v1.0</cx:f>
              <cx:v>Shannon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C1102EB-F1DF-4031-8797-A3FCEAF92052}">
          <cx:tx>
            <cx:txData>
              <cx:f>_xlchart.v1.2</cx:f>
              <cx:v>Renyi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6BFC4E43-47DC-4CDE-84DA-FA698D4B6F7D}">
          <cx:tx>
            <cx:txData>
              <cx:f>_xlchart.v1.4</cx:f>
              <cx:v>Sharma-Mittal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1108D371-12CA-432F-AC52-0D685138C692}">
          <cx:tx>
            <cx:txData>
              <cx:f>_xlchart.v1.6</cx:f>
              <cx:v>Tsallis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BEDF96C3-9A05-43A9-8D4F-28AE2F9D016D}">
          <cx:tx>
            <cx:txData>
              <cx:f>_xlchart.v1.8</cx:f>
              <cx:v>Sharma-Taneja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C596CF8C-607C-4DF1-B793-249DAB76F24C}">
          <cx:tx>
            <cx:txData>
              <cx:f>_xlchart.v1.10</cx:f>
              <cx:v>Kapur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99148BC0-BC8B-49E7-B2AB-3C82C4B53E58}">
          <cx:tx>
            <cx:txData>
              <cx:f>_xlchart.v1.12</cx:f>
              <cx:v>Kaniadakis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0.180000007"/>
        <cx:tickLabels/>
      </cx:axis>
      <cx:axis id="1">
        <cx:valScaling max="0.80000000000000004" min="0.5"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327660</xdr:colOff>
      <xdr:row>0</xdr:row>
      <xdr:rowOff>171450</xdr:rowOff>
    </xdr:from>
    <xdr:to>
      <xdr:col>17</xdr:col>
      <xdr:colOff>83820</xdr:colOff>
      <xdr:row>18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256CDEA-CB27-E53D-6015-F854E5B9E4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91200" y="171450"/>
              <a:ext cx="6690360" cy="3188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G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090337-BF9B-4FC2-85CF-55023363343B}" name="Table2" displayName="Table2" ref="A1:F52" totalsRowShown="0">
  <autoFilter ref="A1:F52" xr:uid="{24090337-BF9B-4FC2-85CF-55023363343B}"/>
  <sortState xmlns:xlrd2="http://schemas.microsoft.com/office/spreadsheetml/2017/richdata2" ref="A2:F52">
    <sortCondition ref="A1:A52"/>
  </sortState>
  <tableColumns count="6">
    <tableColumn id="1" xr3:uid="{48AD6C2C-7983-4269-85FD-C0816D28BC2B}" name="accuracy"/>
    <tableColumn id="2" xr3:uid="{681ED7A1-C2E1-4A14-95CF-1A3E32364FAD}" name="depth"/>
    <tableColumn id="3" xr3:uid="{85DD03FD-AB12-487E-A3CF-85F702E2DB59}" name="leaves"/>
    <tableColumn id="4" xr3:uid="{698DB7C5-9DD6-43EF-B751-1E0C78BADD45}" name="recall_1"/>
    <tableColumn id="5" xr3:uid="{72BDE6CB-FFC2-4F47-9BA2-ACA73DBF79F7}" name="f1_1"/>
    <tableColumn id="6" xr3:uid="{EFA9A3B9-FBBD-4598-827C-F9EB3C0BCC6D}" name="se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4483D8-CE73-456F-BEBE-2B92BEDAB602}" name="Table3" displayName="Table3" ref="A1:G52" totalsRowShown="0">
  <autoFilter ref="A1:G52" xr:uid="{854483D8-CE73-456F-BEBE-2B92BEDAB602}"/>
  <sortState xmlns:xlrd2="http://schemas.microsoft.com/office/spreadsheetml/2017/richdata2" ref="A2:G52">
    <sortCondition ref="A1:A52"/>
  </sortState>
  <tableColumns count="7">
    <tableColumn id="1" xr3:uid="{4687BED2-451C-4D1D-A4E0-06E0EB3542E1}" name="accuracy"/>
    <tableColumn id="2" xr3:uid="{BAE0B209-DDAA-495C-AF32-B6403EA8A626}" name="entropy_parameter"/>
    <tableColumn id="3" xr3:uid="{DED7D9D1-A993-4C1D-B001-817225BD27DC}" name="depth"/>
    <tableColumn id="4" xr3:uid="{D901138C-00F1-4692-A7A8-44DAA69C9E0F}" name="leaves"/>
    <tableColumn id="5" xr3:uid="{81BEAE6D-CE32-41EC-8B6A-7694B11755B6}" name="recall_1"/>
    <tableColumn id="6" xr3:uid="{DA93775E-8B43-43E1-AF14-652217842598}" name="f1_1"/>
    <tableColumn id="7" xr3:uid="{65D56935-7A89-4E39-9496-364FEF7E9040}" name="se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384531-D48F-4A65-B276-41B41DAF7481}" name="Table4" displayName="Table4" ref="A1:H52" totalsRowShown="0">
  <autoFilter ref="A1:H52" xr:uid="{A3384531-D48F-4A65-B276-41B41DAF7481}"/>
  <sortState xmlns:xlrd2="http://schemas.microsoft.com/office/spreadsheetml/2017/richdata2" ref="A2:H52">
    <sortCondition ref="A1:A52"/>
  </sortState>
  <tableColumns count="8">
    <tableColumn id="1" xr3:uid="{CC6BDE17-5446-4226-988C-0199DD6D320F}" name="accuracy"/>
    <tableColumn id="2" xr3:uid="{79791090-0215-4705-A366-D8B8801E1F56}" name="entropy_parameter_one"/>
    <tableColumn id="3" xr3:uid="{0417A5E9-F12C-4B9E-9CA4-54EF24C1E34C}" name="entropy_parameter_two"/>
    <tableColumn id="4" xr3:uid="{698989E4-ECE5-46F0-A611-93F688ACEE2E}" name="depth"/>
    <tableColumn id="5" xr3:uid="{1356B212-5E34-4D1D-8EAE-D88483D28168}" name="leaves"/>
    <tableColumn id="6" xr3:uid="{1FB17C73-5D55-4A8A-9F6B-EFD5968D7698}" name="recall_1"/>
    <tableColumn id="7" xr3:uid="{16BA020E-4AC8-43DE-94DD-EEB952B98EC7}" name="f1_1"/>
    <tableColumn id="8" xr3:uid="{CFE922E2-103D-4619-ACC5-C1351B53E712}" name="se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FB7932-8AE4-49B8-87D6-D8234555376A}" name="Table5" displayName="Table5" ref="A1:G52" totalsRowShown="0">
  <autoFilter ref="A1:G52" xr:uid="{33FB7932-8AE4-49B8-87D6-D8234555376A}"/>
  <sortState xmlns:xlrd2="http://schemas.microsoft.com/office/spreadsheetml/2017/richdata2" ref="A2:G52">
    <sortCondition ref="A1:A52"/>
  </sortState>
  <tableColumns count="7">
    <tableColumn id="1" xr3:uid="{B11DF720-DACB-45FB-86A9-7A588361E103}" name="accuracy"/>
    <tableColumn id="2" xr3:uid="{11FF05E6-CD35-4C78-8A3D-0FD02C5140A9}" name="entropy_parameter"/>
    <tableColumn id="3" xr3:uid="{9630A9FA-5B13-4E64-8D07-97D9E7D560D4}" name="depth"/>
    <tableColumn id="4" xr3:uid="{D826B92F-5958-4118-B4B5-5B9C7E65C014}" name="leaves"/>
    <tableColumn id="5" xr3:uid="{36F0A5AC-4166-4C4D-A187-6C2ED369ABF3}" name="recall_1"/>
    <tableColumn id="6" xr3:uid="{79F35325-2FF1-453F-853F-A50816A91BFA}" name="f1_1"/>
    <tableColumn id="7" xr3:uid="{266AD08F-DAFE-447C-A13F-B995E29BC5F2}" name="se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AC37562-A4CE-4220-9247-2186DC472BED}" name="Table6" displayName="Table6" ref="A1:H52" totalsRowShown="0">
  <autoFilter ref="A1:H52" xr:uid="{4AC37562-A4CE-4220-9247-2186DC472BED}"/>
  <sortState xmlns:xlrd2="http://schemas.microsoft.com/office/spreadsheetml/2017/richdata2" ref="A2:H52">
    <sortCondition ref="A1:A52"/>
  </sortState>
  <tableColumns count="8">
    <tableColumn id="1" xr3:uid="{4330D0D5-A25F-4AF4-97A1-FBD8088E284C}" name="accuracy"/>
    <tableColumn id="2" xr3:uid="{AD46096D-FA3A-4806-AAB3-1EE34055ED2F}" name="entropy_parameter_one"/>
    <tableColumn id="3" xr3:uid="{ADFF7445-AC06-4F8F-9A17-7CAF266D3040}" name="entropy_parameter_two"/>
    <tableColumn id="4" xr3:uid="{82BC20B4-0ADA-4539-BFA8-A72E75C0AF89}" name="depth"/>
    <tableColumn id="5" xr3:uid="{CCC99C22-F966-461D-A6F3-34217707761A}" name="leaves"/>
    <tableColumn id="6" xr3:uid="{C1391CB5-0950-4CD6-8B97-2363CD7C01DE}" name="recall_1"/>
    <tableColumn id="7" xr3:uid="{1839591B-1536-485B-B210-BFD5ECEFB881}" name="f1_1"/>
    <tableColumn id="8" xr3:uid="{BDE7269B-77E1-4277-9EEA-16844A0F4902}" name="se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D816FE2-1320-48BC-9CC3-E388729AE786}" name="Table7" displayName="Table7" ref="A1:H52" totalsRowShown="0">
  <autoFilter ref="A1:H52" xr:uid="{FD816FE2-1320-48BC-9CC3-E388729AE786}"/>
  <sortState xmlns:xlrd2="http://schemas.microsoft.com/office/spreadsheetml/2017/richdata2" ref="A2:H52">
    <sortCondition ref="A1:A52"/>
  </sortState>
  <tableColumns count="8">
    <tableColumn id="1" xr3:uid="{99E4E880-0C81-4129-8C4E-CA9523158F91}" name="accuracy"/>
    <tableColumn id="2" xr3:uid="{C1541CF4-C9FC-4095-9032-032DC1291DA8}" name="entropy_parameter_one"/>
    <tableColumn id="3" xr3:uid="{69D0F02A-863D-41C7-B5B9-6C6CFA167DF5}" name="entropy_parameter_two"/>
    <tableColumn id="4" xr3:uid="{0073B48A-7297-48DD-A1D5-62F6EE122C54}" name="depth"/>
    <tableColumn id="5" xr3:uid="{02484958-5AA6-478E-8114-75BF1A6E2605}" name="leaves"/>
    <tableColumn id="6" xr3:uid="{A5E14308-2C23-4841-B28D-3C6CA82411D4}" name="recall_1"/>
    <tableColumn id="7" xr3:uid="{F3BC509C-B500-4FE3-942B-42F4FE096432}" name="f1_1"/>
    <tableColumn id="8" xr3:uid="{ADE1BDF6-AC6C-4CBF-9AF6-F3E25EF7194C}" name="se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8EE0F09-B2C1-416C-9A1D-67FDAA1121B6}" name="Table8" displayName="Table8" ref="A1:G52" totalsRowShown="0">
  <autoFilter ref="A1:G52" xr:uid="{A8EE0F09-B2C1-416C-9A1D-67FDAA1121B6}"/>
  <sortState xmlns:xlrd2="http://schemas.microsoft.com/office/spreadsheetml/2017/richdata2" ref="A2:G52">
    <sortCondition ref="A1:A52"/>
  </sortState>
  <tableColumns count="7">
    <tableColumn id="1" xr3:uid="{1AC75879-6BBB-4454-B6B8-1E86C76C862D}" name="accuracy"/>
    <tableColumn id="2" xr3:uid="{91F66AE4-B77B-4404-BFAD-75150EAAD7EB}" name="entropy_parameter"/>
    <tableColumn id="3" xr3:uid="{53C992F7-EF57-4D66-AAEE-D539397435AE}" name="depth"/>
    <tableColumn id="4" xr3:uid="{C1A407BE-1F7F-41D6-9997-D80156233F12}" name="leaves"/>
    <tableColumn id="5" xr3:uid="{5459C7C6-CECE-4A64-B7B6-38B25FDDF336}" name="recall_1"/>
    <tableColumn id="6" xr3:uid="{C641FB9E-947C-4C80-8599-6AA896D0BE4C}" name="f1_1"/>
    <tableColumn id="7" xr3:uid="{9EEF0D3D-9607-4C85-B73B-F31F6EED8153}" name="se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2C752A-336F-42E4-915F-AAE04686367E}" name="Table1" displayName="Table1" ref="A1:A52" totalsRowShown="0">
  <autoFilter ref="A1:A52" xr:uid="{412C752A-336F-42E4-915F-AAE04686367E}"/>
  <tableColumns count="1">
    <tableColumn id="1" xr3:uid="{A8633AEF-9EE2-4421-BDDE-301A135EC13E}" name="see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A755C4E-0657-4654-A9A9-BF4D1F167003}" name="Table9" displayName="Table9" ref="A1:G52" totalsRowShown="0">
  <autoFilter ref="A1:G52" xr:uid="{1A755C4E-0657-4654-A9A9-BF4D1F167003}"/>
  <tableColumns count="7">
    <tableColumn id="1" xr3:uid="{D1097B2C-2F47-4BF1-862D-541D1779711B}" name="Shannon"/>
    <tableColumn id="2" xr3:uid="{FC713808-FF23-4509-87D0-7626409CE6C7}" name="Renyi"/>
    <tableColumn id="3" xr3:uid="{5989D34C-9FBB-402D-897C-2290B76F500E}" name="Sharma-Mittal"/>
    <tableColumn id="4" xr3:uid="{1A361AC7-8678-45F8-91BC-46BC534CBC80}" name="Tsallis"/>
    <tableColumn id="5" xr3:uid="{1AB8AD5B-AF5A-4F76-9D13-0AE8F8E862CD}" name="Sharma-Taneja"/>
    <tableColumn id="6" xr3:uid="{168D2052-3CF3-4076-B597-EF1586252C65}" name="Kapur"/>
    <tableColumn id="7" xr3:uid="{50C24815-5480-47E1-93B7-F3256E444775}" name="Kaniadak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workbookViewId="0">
      <selection activeCell="I10" sqref="I10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</row>
    <row r="2" spans="1:6" x14ac:dyDescent="0.3">
      <c r="A2">
        <v>0.53763440860215095</v>
      </c>
      <c r="B2">
        <v>16</v>
      </c>
      <c r="C2">
        <v>37</v>
      </c>
      <c r="D2">
        <v>0.67647058823529405</v>
      </c>
      <c r="E2">
        <v>0.68148148148148102</v>
      </c>
      <c r="F2">
        <v>319</v>
      </c>
    </row>
    <row r="3" spans="1:6" x14ac:dyDescent="0.3">
      <c r="A3">
        <v>0.58064516129032295</v>
      </c>
      <c r="B3">
        <v>15</v>
      </c>
      <c r="C3">
        <v>30</v>
      </c>
      <c r="D3">
        <v>0.70588235294117696</v>
      </c>
      <c r="E3">
        <v>0.71111111111111103</v>
      </c>
      <c r="F3">
        <v>865</v>
      </c>
    </row>
    <row r="4" spans="1:6" x14ac:dyDescent="0.3">
      <c r="A4">
        <v>0.59139784946236595</v>
      </c>
      <c r="B4">
        <v>16</v>
      </c>
      <c r="C4">
        <v>38</v>
      </c>
      <c r="D4">
        <v>0.70588235294117696</v>
      </c>
      <c r="E4">
        <v>0.71641791044776104</v>
      </c>
      <c r="F4">
        <v>417</v>
      </c>
    </row>
    <row r="5" spans="1:6" x14ac:dyDescent="0.3">
      <c r="A5">
        <v>0.60215053763440896</v>
      </c>
      <c r="B5">
        <v>24</v>
      </c>
      <c r="C5">
        <v>45</v>
      </c>
      <c r="D5">
        <v>0.73529411764705899</v>
      </c>
      <c r="E5">
        <v>0.72992700729926996</v>
      </c>
      <c r="F5">
        <v>449</v>
      </c>
    </row>
    <row r="6" spans="1:6" x14ac:dyDescent="0.3">
      <c r="A6">
        <v>0.61290322580645196</v>
      </c>
      <c r="B6">
        <v>21</v>
      </c>
      <c r="C6">
        <v>45</v>
      </c>
      <c r="D6">
        <v>0.72058823529411797</v>
      </c>
      <c r="E6">
        <v>0.73134328358209</v>
      </c>
      <c r="F6">
        <v>386</v>
      </c>
    </row>
    <row r="7" spans="1:6" x14ac:dyDescent="0.3">
      <c r="A7">
        <v>0.61290322580645196</v>
      </c>
      <c r="B7">
        <v>19</v>
      </c>
      <c r="C7">
        <v>38</v>
      </c>
      <c r="D7">
        <v>0.76470588235294101</v>
      </c>
      <c r="E7">
        <v>0.74285714285714299</v>
      </c>
      <c r="F7">
        <v>62</v>
      </c>
    </row>
    <row r="8" spans="1:6" x14ac:dyDescent="0.3">
      <c r="A8">
        <v>0.62365591397849496</v>
      </c>
      <c r="B8">
        <v>19</v>
      </c>
      <c r="C8">
        <v>34</v>
      </c>
      <c r="D8">
        <v>0.76470588235294101</v>
      </c>
      <c r="E8">
        <v>0.74820143884892099</v>
      </c>
      <c r="F8">
        <v>67</v>
      </c>
    </row>
    <row r="9" spans="1:6" x14ac:dyDescent="0.3">
      <c r="A9">
        <v>0.62365591397849496</v>
      </c>
      <c r="B9">
        <v>15</v>
      </c>
      <c r="C9">
        <v>39</v>
      </c>
      <c r="D9">
        <v>0.69117647058823495</v>
      </c>
      <c r="E9">
        <v>0.72868217054263595</v>
      </c>
      <c r="F9">
        <v>797</v>
      </c>
    </row>
    <row r="10" spans="1:6" x14ac:dyDescent="0.3">
      <c r="A10">
        <v>0.62365591397849496</v>
      </c>
      <c r="B10">
        <v>14</v>
      </c>
      <c r="C10">
        <v>37</v>
      </c>
      <c r="D10">
        <v>0.75</v>
      </c>
      <c r="E10">
        <v>0.74452554744525601</v>
      </c>
      <c r="F10">
        <v>684</v>
      </c>
    </row>
    <row r="11" spans="1:6" x14ac:dyDescent="0.3">
      <c r="A11">
        <v>0.62365591397849496</v>
      </c>
      <c r="B11">
        <v>18</v>
      </c>
      <c r="C11">
        <v>35</v>
      </c>
      <c r="D11">
        <v>0.75</v>
      </c>
      <c r="E11">
        <v>0.74452554744525601</v>
      </c>
      <c r="F11">
        <v>233</v>
      </c>
    </row>
    <row r="12" spans="1:6" x14ac:dyDescent="0.3">
      <c r="A12">
        <v>0.62365591397849496</v>
      </c>
      <c r="B12">
        <v>19</v>
      </c>
      <c r="C12">
        <v>42</v>
      </c>
      <c r="D12">
        <v>0.73529411764705899</v>
      </c>
      <c r="E12">
        <v>0.74074074074074103</v>
      </c>
      <c r="F12">
        <v>95</v>
      </c>
    </row>
    <row r="13" spans="1:6" x14ac:dyDescent="0.3">
      <c r="A13">
        <v>0.62365591397849496</v>
      </c>
      <c r="B13">
        <v>19</v>
      </c>
      <c r="C13">
        <v>38</v>
      </c>
      <c r="D13">
        <v>0.77941176470588203</v>
      </c>
      <c r="E13">
        <v>0.75177304964539005</v>
      </c>
      <c r="F13">
        <v>485</v>
      </c>
    </row>
    <row r="14" spans="1:6" x14ac:dyDescent="0.3">
      <c r="A14">
        <v>0.63440860215053796</v>
      </c>
      <c r="B14">
        <v>24</v>
      </c>
      <c r="C14">
        <v>46</v>
      </c>
      <c r="D14">
        <v>0.72058823529411797</v>
      </c>
      <c r="E14">
        <v>0.74242424242424199</v>
      </c>
      <c r="F14">
        <v>251</v>
      </c>
    </row>
    <row r="15" spans="1:6" x14ac:dyDescent="0.3">
      <c r="A15">
        <v>0.63440860215053796</v>
      </c>
      <c r="B15">
        <v>14</v>
      </c>
      <c r="C15">
        <v>40</v>
      </c>
      <c r="D15">
        <v>0.76470588235294101</v>
      </c>
      <c r="E15">
        <v>0.75362318840579701</v>
      </c>
      <c r="F15">
        <v>658</v>
      </c>
    </row>
    <row r="16" spans="1:6" x14ac:dyDescent="0.3">
      <c r="A16">
        <v>0.63440860215053796</v>
      </c>
      <c r="B16">
        <v>17</v>
      </c>
      <c r="C16">
        <v>37</v>
      </c>
      <c r="D16">
        <v>0.75</v>
      </c>
      <c r="E16">
        <v>0.75</v>
      </c>
      <c r="F16">
        <v>594</v>
      </c>
    </row>
    <row r="17" spans="1:6" x14ac:dyDescent="0.3">
      <c r="A17">
        <v>0.63440860215053796</v>
      </c>
      <c r="B17">
        <v>19</v>
      </c>
      <c r="C17">
        <v>40</v>
      </c>
      <c r="D17">
        <v>0.77941176470588203</v>
      </c>
      <c r="E17">
        <v>0.75714285714285701</v>
      </c>
      <c r="F17">
        <v>102</v>
      </c>
    </row>
    <row r="18" spans="1:6" x14ac:dyDescent="0.3">
      <c r="A18">
        <v>0.63440860215053796</v>
      </c>
      <c r="B18">
        <v>20</v>
      </c>
      <c r="C18">
        <v>42</v>
      </c>
      <c r="D18">
        <v>0.75</v>
      </c>
      <c r="E18">
        <v>0.75</v>
      </c>
      <c r="F18">
        <v>602</v>
      </c>
    </row>
    <row r="19" spans="1:6" x14ac:dyDescent="0.3">
      <c r="A19">
        <v>0.64516129032258096</v>
      </c>
      <c r="B19">
        <v>20</v>
      </c>
      <c r="C19">
        <v>39</v>
      </c>
      <c r="D19">
        <v>0.76470588235294101</v>
      </c>
      <c r="E19">
        <v>0.75912408759124095</v>
      </c>
      <c r="F19">
        <v>946</v>
      </c>
    </row>
    <row r="20" spans="1:6" x14ac:dyDescent="0.3">
      <c r="A20">
        <v>0.64516129032258096</v>
      </c>
      <c r="B20">
        <v>13</v>
      </c>
      <c r="C20">
        <v>32</v>
      </c>
      <c r="D20">
        <v>0.76470588235294101</v>
      </c>
      <c r="E20">
        <v>0.75912408759124095</v>
      </c>
      <c r="F20">
        <v>450</v>
      </c>
    </row>
    <row r="21" spans="1:6" x14ac:dyDescent="0.3">
      <c r="A21">
        <v>0.64516129032258096</v>
      </c>
      <c r="B21">
        <v>23</v>
      </c>
      <c r="C21">
        <v>43</v>
      </c>
      <c r="D21">
        <v>0.76470588235294101</v>
      </c>
      <c r="E21">
        <v>0.75912408759124095</v>
      </c>
      <c r="F21">
        <v>40</v>
      </c>
    </row>
    <row r="22" spans="1:6" x14ac:dyDescent="0.3">
      <c r="A22">
        <v>0.65591397849462396</v>
      </c>
      <c r="B22">
        <v>15</v>
      </c>
      <c r="C22">
        <v>37</v>
      </c>
      <c r="D22">
        <v>0.82352941176470595</v>
      </c>
      <c r="E22">
        <v>0.77777777777777801</v>
      </c>
      <c r="F22">
        <v>549</v>
      </c>
    </row>
    <row r="23" spans="1:6" x14ac:dyDescent="0.3">
      <c r="A23">
        <v>0.65591397849462396</v>
      </c>
      <c r="B23">
        <v>13</v>
      </c>
      <c r="C23">
        <v>36</v>
      </c>
      <c r="D23">
        <v>0.75</v>
      </c>
      <c r="E23">
        <v>0.76119402985074602</v>
      </c>
      <c r="F23">
        <v>275</v>
      </c>
    </row>
    <row r="24" spans="1:6" x14ac:dyDescent="0.3">
      <c r="A24">
        <v>0.65591397849462396</v>
      </c>
      <c r="B24">
        <v>16</v>
      </c>
      <c r="C24">
        <v>39</v>
      </c>
      <c r="D24">
        <v>0.77941176470588203</v>
      </c>
      <c r="E24">
        <v>0.76811594202898603</v>
      </c>
      <c r="F24">
        <v>559</v>
      </c>
    </row>
    <row r="25" spans="1:6" x14ac:dyDescent="0.3">
      <c r="A25">
        <v>0.65591397849462396</v>
      </c>
      <c r="B25">
        <v>15</v>
      </c>
      <c r="C25">
        <v>40</v>
      </c>
      <c r="D25">
        <v>0.82352941176470595</v>
      </c>
      <c r="E25">
        <v>0.77777777777777801</v>
      </c>
      <c r="F25">
        <v>468</v>
      </c>
    </row>
    <row r="26" spans="1:6" x14ac:dyDescent="0.3">
      <c r="A26">
        <v>0.65591397849462396</v>
      </c>
      <c r="B26">
        <v>24</v>
      </c>
      <c r="C26">
        <v>40</v>
      </c>
      <c r="D26">
        <v>0.75</v>
      </c>
      <c r="E26">
        <v>0.76119402985074602</v>
      </c>
      <c r="F26">
        <v>213</v>
      </c>
    </row>
    <row r="27" spans="1:6" x14ac:dyDescent="0.3">
      <c r="A27">
        <v>0.65591397849462396</v>
      </c>
      <c r="B27">
        <v>12</v>
      </c>
      <c r="C27">
        <v>34</v>
      </c>
      <c r="D27">
        <v>0.79411764705882304</v>
      </c>
      <c r="E27">
        <v>0.77142857142857102</v>
      </c>
      <c r="F27">
        <v>822</v>
      </c>
    </row>
    <row r="28" spans="1:6" x14ac:dyDescent="0.3">
      <c r="A28">
        <v>0.65591397849462396</v>
      </c>
      <c r="B28">
        <v>12</v>
      </c>
      <c r="C28">
        <v>24</v>
      </c>
      <c r="D28">
        <v>0.80882352941176505</v>
      </c>
      <c r="E28">
        <v>0.77464788732394396</v>
      </c>
      <c r="F28">
        <v>475</v>
      </c>
    </row>
    <row r="29" spans="1:6" x14ac:dyDescent="0.3">
      <c r="A29">
        <v>0.66666666666666696</v>
      </c>
      <c r="B29">
        <v>18</v>
      </c>
      <c r="C29">
        <v>44</v>
      </c>
      <c r="D29">
        <v>0.79411764705882304</v>
      </c>
      <c r="E29">
        <v>0.77697841726618699</v>
      </c>
      <c r="F29">
        <v>949</v>
      </c>
    </row>
    <row r="30" spans="1:6" x14ac:dyDescent="0.3">
      <c r="A30">
        <v>0.66666666666666696</v>
      </c>
      <c r="B30">
        <v>21</v>
      </c>
      <c r="C30">
        <v>45</v>
      </c>
      <c r="D30">
        <v>0.77941176470588203</v>
      </c>
      <c r="E30">
        <v>0.773722627737226</v>
      </c>
      <c r="F30">
        <v>313</v>
      </c>
    </row>
    <row r="31" spans="1:6" x14ac:dyDescent="0.3">
      <c r="A31">
        <v>0.66666666666666696</v>
      </c>
      <c r="B31">
        <v>16</v>
      </c>
      <c r="C31">
        <v>37</v>
      </c>
      <c r="D31">
        <v>0.77941176470588203</v>
      </c>
      <c r="E31">
        <v>0.773722627737226</v>
      </c>
      <c r="F31">
        <v>787</v>
      </c>
    </row>
    <row r="32" spans="1:6" x14ac:dyDescent="0.3">
      <c r="A32">
        <v>0.66666666666666696</v>
      </c>
      <c r="B32">
        <v>22</v>
      </c>
      <c r="C32">
        <v>39</v>
      </c>
      <c r="D32">
        <v>0.76470588235294101</v>
      </c>
      <c r="E32">
        <v>0.77037037037037004</v>
      </c>
      <c r="F32">
        <v>29</v>
      </c>
    </row>
    <row r="33" spans="1:6" x14ac:dyDescent="0.3">
      <c r="A33">
        <v>0.66666666666666696</v>
      </c>
      <c r="B33">
        <v>17</v>
      </c>
      <c r="C33">
        <v>31</v>
      </c>
      <c r="D33">
        <v>0.83823529411764697</v>
      </c>
      <c r="E33">
        <v>0.78620689655172404</v>
      </c>
      <c r="F33">
        <v>212</v>
      </c>
    </row>
    <row r="34" spans="1:6" x14ac:dyDescent="0.3">
      <c r="A34">
        <v>0.67741935483870996</v>
      </c>
      <c r="B34">
        <v>12</v>
      </c>
      <c r="C34">
        <v>30</v>
      </c>
      <c r="D34">
        <v>0.76470588235294101</v>
      </c>
      <c r="E34">
        <v>0.77611940298507498</v>
      </c>
      <c r="F34">
        <v>644</v>
      </c>
    </row>
    <row r="35" spans="1:6" x14ac:dyDescent="0.3">
      <c r="A35">
        <v>0.67741935483870996</v>
      </c>
      <c r="B35">
        <v>19</v>
      </c>
      <c r="C35">
        <v>41</v>
      </c>
      <c r="D35">
        <v>0.85294117647058798</v>
      </c>
      <c r="E35">
        <v>0.79452054794520499</v>
      </c>
      <c r="F35">
        <v>553</v>
      </c>
    </row>
    <row r="36" spans="1:6" x14ac:dyDescent="0.3">
      <c r="A36">
        <v>0.67741935483870996</v>
      </c>
      <c r="B36">
        <v>22</v>
      </c>
      <c r="C36">
        <v>41</v>
      </c>
      <c r="D36">
        <v>0.82352941176470595</v>
      </c>
      <c r="E36">
        <v>0.78873239436619702</v>
      </c>
      <c r="F36">
        <v>249</v>
      </c>
    </row>
    <row r="37" spans="1:6" x14ac:dyDescent="0.3">
      <c r="A37">
        <v>0.68817204301075297</v>
      </c>
      <c r="B37">
        <v>14</v>
      </c>
      <c r="C37">
        <v>28</v>
      </c>
      <c r="D37">
        <v>0.86764705882352899</v>
      </c>
      <c r="E37">
        <v>0.80272108843537404</v>
      </c>
      <c r="F37">
        <v>48</v>
      </c>
    </row>
    <row r="38" spans="1:6" x14ac:dyDescent="0.3">
      <c r="A38">
        <v>0.68817204301075297</v>
      </c>
      <c r="B38">
        <v>26</v>
      </c>
      <c r="C38">
        <v>44</v>
      </c>
      <c r="D38">
        <v>0.88235294117647101</v>
      </c>
      <c r="E38">
        <v>0.80536912751677803</v>
      </c>
      <c r="F38">
        <v>610</v>
      </c>
    </row>
    <row r="39" spans="1:6" x14ac:dyDescent="0.3">
      <c r="A39">
        <v>0.68817204301075297</v>
      </c>
      <c r="B39">
        <v>15</v>
      </c>
      <c r="C39">
        <v>34</v>
      </c>
      <c r="D39">
        <v>0.80882352941176505</v>
      </c>
      <c r="E39">
        <v>0.79136690647482</v>
      </c>
      <c r="F39">
        <v>355</v>
      </c>
    </row>
    <row r="40" spans="1:6" x14ac:dyDescent="0.3">
      <c r="A40">
        <v>0.68817204301075297</v>
      </c>
      <c r="B40">
        <v>19</v>
      </c>
      <c r="C40">
        <v>42</v>
      </c>
      <c r="D40">
        <v>0.79411764705882304</v>
      </c>
      <c r="E40">
        <v>0.78832116788321205</v>
      </c>
      <c r="F40">
        <v>546</v>
      </c>
    </row>
    <row r="41" spans="1:6" x14ac:dyDescent="0.3">
      <c r="A41">
        <v>0.69892473118279597</v>
      </c>
      <c r="B41">
        <v>14</v>
      </c>
      <c r="C41">
        <v>39</v>
      </c>
      <c r="D41">
        <v>0.83823529411764697</v>
      </c>
      <c r="E41">
        <v>0.80281690140845097</v>
      </c>
      <c r="F41">
        <v>141</v>
      </c>
    </row>
    <row r="42" spans="1:6" x14ac:dyDescent="0.3">
      <c r="A42">
        <v>0.70967741935483897</v>
      </c>
      <c r="B42">
        <v>17</v>
      </c>
      <c r="C42">
        <v>38</v>
      </c>
      <c r="D42">
        <v>0.89705882352941202</v>
      </c>
      <c r="E42">
        <v>0.81879194630872498</v>
      </c>
      <c r="F42">
        <v>808</v>
      </c>
    </row>
    <row r="43" spans="1:6" x14ac:dyDescent="0.3">
      <c r="A43">
        <v>0.72043010752688197</v>
      </c>
      <c r="B43">
        <v>14</v>
      </c>
      <c r="C43">
        <v>36</v>
      </c>
      <c r="D43">
        <v>0.82352941176470595</v>
      </c>
      <c r="E43">
        <v>0.811594202898551</v>
      </c>
      <c r="F43">
        <v>612</v>
      </c>
    </row>
    <row r="44" spans="1:6" x14ac:dyDescent="0.3">
      <c r="A44">
        <v>0.73118279569892497</v>
      </c>
      <c r="B44">
        <v>21</v>
      </c>
      <c r="C44">
        <v>46</v>
      </c>
      <c r="D44">
        <v>0.82352941176470595</v>
      </c>
      <c r="E44">
        <v>0.81751824817518204</v>
      </c>
      <c r="F44">
        <v>297</v>
      </c>
    </row>
    <row r="45" spans="1:6" x14ac:dyDescent="0.3">
      <c r="A45">
        <v>0.73118279569892497</v>
      </c>
      <c r="B45">
        <v>19</v>
      </c>
      <c r="C45">
        <v>44</v>
      </c>
      <c r="D45">
        <v>0.82352941176470595</v>
      </c>
      <c r="E45">
        <v>0.81751824817518204</v>
      </c>
      <c r="F45">
        <v>26</v>
      </c>
    </row>
    <row r="46" spans="1:6" x14ac:dyDescent="0.3">
      <c r="A46">
        <v>0.73118279569892497</v>
      </c>
      <c r="B46">
        <v>20</v>
      </c>
      <c r="C46">
        <v>39</v>
      </c>
      <c r="D46">
        <v>0.89705882352941202</v>
      </c>
      <c r="E46">
        <v>0.82993197278911601</v>
      </c>
      <c r="F46">
        <v>5</v>
      </c>
    </row>
    <row r="47" spans="1:6" x14ac:dyDescent="0.3">
      <c r="A47">
        <v>0.73118279569892497</v>
      </c>
      <c r="B47">
        <v>23</v>
      </c>
      <c r="C47">
        <v>43</v>
      </c>
      <c r="D47">
        <v>0.85294117647058798</v>
      </c>
      <c r="E47">
        <v>0.82269503546099298</v>
      </c>
      <c r="F47">
        <v>908</v>
      </c>
    </row>
    <row r="48" spans="1:6" x14ac:dyDescent="0.3">
      <c r="A48">
        <v>0.73118279569892497</v>
      </c>
      <c r="B48">
        <v>18</v>
      </c>
      <c r="C48">
        <v>39</v>
      </c>
      <c r="D48">
        <v>0.89705882352941202</v>
      </c>
      <c r="E48">
        <v>0.82993197278911601</v>
      </c>
      <c r="F48">
        <v>82</v>
      </c>
    </row>
    <row r="49" spans="1:6" x14ac:dyDescent="0.3">
      <c r="A49">
        <v>0.74193548387096797</v>
      </c>
      <c r="B49">
        <v>14</v>
      </c>
      <c r="C49">
        <v>34</v>
      </c>
      <c r="D49">
        <v>0.92647058823529405</v>
      </c>
      <c r="E49">
        <v>0.84</v>
      </c>
      <c r="F49">
        <v>747</v>
      </c>
    </row>
    <row r="50" spans="1:6" x14ac:dyDescent="0.3">
      <c r="A50">
        <v>0.75268817204301097</v>
      </c>
      <c r="B50">
        <v>13</v>
      </c>
      <c r="C50">
        <v>39</v>
      </c>
      <c r="D50">
        <v>0.89705882352941202</v>
      </c>
      <c r="E50">
        <v>0.84137931034482805</v>
      </c>
      <c r="F50">
        <v>697</v>
      </c>
    </row>
    <row r="51" spans="1:6" x14ac:dyDescent="0.3">
      <c r="A51">
        <v>0.75268817204301097</v>
      </c>
      <c r="B51">
        <v>17</v>
      </c>
      <c r="C51">
        <v>39</v>
      </c>
      <c r="D51">
        <v>0.89705882352941202</v>
      </c>
      <c r="E51">
        <v>0.84137931034482805</v>
      </c>
      <c r="F51">
        <v>421</v>
      </c>
    </row>
    <row r="52" spans="1:6" x14ac:dyDescent="0.3">
      <c r="A52">
        <v>0.75268817204301097</v>
      </c>
      <c r="B52">
        <v>19</v>
      </c>
      <c r="C52">
        <v>42</v>
      </c>
      <c r="D52">
        <v>0.91176470588235303</v>
      </c>
      <c r="E52">
        <v>0.843537414965986</v>
      </c>
      <c r="F52">
        <v>173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tabSelected="1" workbookViewId="0">
      <selection activeCell="J5" sqref="J5"/>
    </sheetView>
  </sheetViews>
  <sheetFormatPr defaultColWidth="11.5546875" defaultRowHeight="14.4" x14ac:dyDescent="0.3"/>
  <cols>
    <col min="2" max="2" width="19.33203125" customWidth="1"/>
  </cols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</row>
    <row r="2" spans="1:7" x14ac:dyDescent="0.3">
      <c r="A2">
        <v>0.56989247311827995</v>
      </c>
      <c r="B2">
        <v>0.5</v>
      </c>
      <c r="C2">
        <v>20</v>
      </c>
      <c r="D2">
        <v>40</v>
      </c>
      <c r="E2">
        <v>0.70588235294117696</v>
      </c>
      <c r="F2">
        <v>0.70588235294117696</v>
      </c>
      <c r="G2">
        <v>319</v>
      </c>
    </row>
    <row r="3" spans="1:7" x14ac:dyDescent="0.3">
      <c r="A3">
        <v>0.60215053763440896</v>
      </c>
      <c r="B3">
        <v>0.75</v>
      </c>
      <c r="C3">
        <v>14</v>
      </c>
      <c r="D3">
        <v>30</v>
      </c>
      <c r="E3">
        <v>0.73529411764705899</v>
      </c>
      <c r="F3">
        <v>0.72992700729926996</v>
      </c>
      <c r="G3">
        <v>865</v>
      </c>
    </row>
    <row r="4" spans="1:7" x14ac:dyDescent="0.3">
      <c r="A4">
        <v>0.63440860215053796</v>
      </c>
      <c r="B4">
        <v>0.75</v>
      </c>
      <c r="C4">
        <v>19</v>
      </c>
      <c r="D4">
        <v>42</v>
      </c>
      <c r="E4">
        <v>0.70588235294117696</v>
      </c>
      <c r="F4">
        <v>0.73846153846153895</v>
      </c>
      <c r="G4">
        <v>797</v>
      </c>
    </row>
    <row r="5" spans="1:7" x14ac:dyDescent="0.3">
      <c r="A5">
        <v>0.64516129032258096</v>
      </c>
      <c r="B5">
        <v>4</v>
      </c>
      <c r="C5">
        <v>12</v>
      </c>
      <c r="D5">
        <v>21</v>
      </c>
      <c r="E5">
        <v>0.79411764705882304</v>
      </c>
      <c r="F5">
        <v>0.76595744680851097</v>
      </c>
      <c r="G5">
        <v>594</v>
      </c>
    </row>
    <row r="6" spans="1:7" x14ac:dyDescent="0.3">
      <c r="A6">
        <v>0.64516129032258096</v>
      </c>
      <c r="B6">
        <v>2.5</v>
      </c>
      <c r="C6">
        <v>10</v>
      </c>
      <c r="D6">
        <v>23</v>
      </c>
      <c r="E6">
        <v>0.79411764705882304</v>
      </c>
      <c r="F6">
        <v>0.76595744680851097</v>
      </c>
      <c r="G6">
        <v>449</v>
      </c>
    </row>
    <row r="7" spans="1:7" x14ac:dyDescent="0.3">
      <c r="A7">
        <v>0.64516129032258096</v>
      </c>
      <c r="B7">
        <v>2.5</v>
      </c>
      <c r="C7">
        <v>14</v>
      </c>
      <c r="D7">
        <v>34</v>
      </c>
      <c r="E7">
        <v>0.77941176470588203</v>
      </c>
      <c r="F7">
        <v>0.76258992805755399</v>
      </c>
      <c r="G7">
        <v>386</v>
      </c>
    </row>
    <row r="8" spans="1:7" x14ac:dyDescent="0.3">
      <c r="A8">
        <v>0.64516129032258096</v>
      </c>
      <c r="B8">
        <v>3</v>
      </c>
      <c r="C8">
        <v>10</v>
      </c>
      <c r="D8">
        <v>23</v>
      </c>
      <c r="E8">
        <v>0.77941176470588203</v>
      </c>
      <c r="F8">
        <v>0.76258992805755399</v>
      </c>
      <c r="G8">
        <v>95</v>
      </c>
    </row>
    <row r="9" spans="1:7" x14ac:dyDescent="0.3">
      <c r="A9">
        <v>0.65591397849462396</v>
      </c>
      <c r="B9">
        <v>0.75</v>
      </c>
      <c r="C9">
        <v>15</v>
      </c>
      <c r="D9">
        <v>37</v>
      </c>
      <c r="E9">
        <v>0.82352941176470595</v>
      </c>
      <c r="F9">
        <v>0.77777777777777801</v>
      </c>
      <c r="G9">
        <v>549</v>
      </c>
    </row>
    <row r="10" spans="1:7" x14ac:dyDescent="0.3">
      <c r="A10">
        <v>0.65591397849462396</v>
      </c>
      <c r="B10">
        <v>3.5</v>
      </c>
      <c r="C10">
        <v>11</v>
      </c>
      <c r="D10">
        <v>24</v>
      </c>
      <c r="E10">
        <v>0.79411764705882304</v>
      </c>
      <c r="F10">
        <v>0.77142857142857102</v>
      </c>
      <c r="G10">
        <v>658</v>
      </c>
    </row>
    <row r="11" spans="1:7" x14ac:dyDescent="0.3">
      <c r="A11">
        <v>0.65591397849462396</v>
      </c>
      <c r="B11">
        <v>3.25</v>
      </c>
      <c r="C11">
        <v>11</v>
      </c>
      <c r="D11">
        <v>23</v>
      </c>
      <c r="E11">
        <v>0.79411764705882304</v>
      </c>
      <c r="F11">
        <v>0.77142857142857102</v>
      </c>
      <c r="G11">
        <v>684</v>
      </c>
    </row>
    <row r="12" spans="1:7" x14ac:dyDescent="0.3">
      <c r="A12">
        <v>0.65591397849462396</v>
      </c>
      <c r="B12">
        <v>0.75</v>
      </c>
      <c r="C12">
        <v>17</v>
      </c>
      <c r="D12">
        <v>31</v>
      </c>
      <c r="E12">
        <v>0.83823529411764697</v>
      </c>
      <c r="F12">
        <v>0.78082191780821897</v>
      </c>
      <c r="G12">
        <v>48</v>
      </c>
    </row>
    <row r="13" spans="1:7" x14ac:dyDescent="0.3">
      <c r="A13">
        <v>0.65591397849462396</v>
      </c>
      <c r="B13">
        <v>4</v>
      </c>
      <c r="C13">
        <v>10</v>
      </c>
      <c r="D13">
        <v>20</v>
      </c>
      <c r="E13">
        <v>0.83823529411764697</v>
      </c>
      <c r="F13">
        <v>0.78082191780821897</v>
      </c>
      <c r="G13">
        <v>62</v>
      </c>
    </row>
    <row r="14" spans="1:7" x14ac:dyDescent="0.3">
      <c r="A14">
        <v>0.65591397849462396</v>
      </c>
      <c r="B14">
        <v>1.5</v>
      </c>
      <c r="C14">
        <v>13</v>
      </c>
      <c r="D14">
        <v>27</v>
      </c>
      <c r="E14">
        <v>0.82352941176470595</v>
      </c>
      <c r="F14">
        <v>0.77777777777777801</v>
      </c>
      <c r="G14">
        <v>475</v>
      </c>
    </row>
    <row r="15" spans="1:7" x14ac:dyDescent="0.3">
      <c r="A15">
        <v>0.65591397849462396</v>
      </c>
      <c r="B15">
        <v>2</v>
      </c>
      <c r="C15">
        <v>12</v>
      </c>
      <c r="D15">
        <v>25</v>
      </c>
      <c r="E15">
        <v>0.79411764705882304</v>
      </c>
      <c r="F15">
        <v>0.77142857142857102</v>
      </c>
      <c r="G15">
        <v>546</v>
      </c>
    </row>
    <row r="16" spans="1:7" x14ac:dyDescent="0.3">
      <c r="A16">
        <v>0.66666666666666696</v>
      </c>
      <c r="B16">
        <v>3.25</v>
      </c>
      <c r="C16">
        <v>10</v>
      </c>
      <c r="D16">
        <v>22</v>
      </c>
      <c r="E16">
        <v>0.80882352941176505</v>
      </c>
      <c r="F16">
        <v>0.780141843971631</v>
      </c>
      <c r="G16">
        <v>29</v>
      </c>
    </row>
    <row r="17" spans="1:7" x14ac:dyDescent="0.3">
      <c r="A17">
        <v>0.66666666666666696</v>
      </c>
      <c r="B17">
        <v>3</v>
      </c>
      <c r="C17">
        <v>11</v>
      </c>
      <c r="D17">
        <v>27</v>
      </c>
      <c r="E17">
        <v>0.77941176470588203</v>
      </c>
      <c r="F17">
        <v>0.773722627737226</v>
      </c>
      <c r="G17">
        <v>213</v>
      </c>
    </row>
    <row r="18" spans="1:7" x14ac:dyDescent="0.3">
      <c r="A18">
        <v>0.67741935483870996</v>
      </c>
      <c r="B18">
        <v>3.25</v>
      </c>
      <c r="C18">
        <v>8</v>
      </c>
      <c r="D18">
        <v>19</v>
      </c>
      <c r="E18">
        <v>0.85294117647058798</v>
      </c>
      <c r="F18">
        <v>0.79452054794520499</v>
      </c>
      <c r="G18">
        <v>559</v>
      </c>
    </row>
    <row r="19" spans="1:7" x14ac:dyDescent="0.3">
      <c r="A19">
        <v>0.67741935483870996</v>
      </c>
      <c r="B19">
        <v>2</v>
      </c>
      <c r="C19">
        <v>13</v>
      </c>
      <c r="D19">
        <v>31</v>
      </c>
      <c r="E19">
        <v>0.77941176470588203</v>
      </c>
      <c r="F19">
        <v>0.77941176470588203</v>
      </c>
      <c r="G19">
        <v>102</v>
      </c>
    </row>
    <row r="20" spans="1:7" x14ac:dyDescent="0.3">
      <c r="A20">
        <v>0.68817204301075297</v>
      </c>
      <c r="B20">
        <v>0.5</v>
      </c>
      <c r="C20">
        <v>15</v>
      </c>
      <c r="D20">
        <v>37</v>
      </c>
      <c r="E20">
        <v>0.76470588235294101</v>
      </c>
      <c r="F20">
        <v>0.78195488721804496</v>
      </c>
      <c r="G20">
        <v>275</v>
      </c>
    </row>
    <row r="21" spans="1:7" x14ac:dyDescent="0.3">
      <c r="A21">
        <v>0.68817204301075297</v>
      </c>
      <c r="B21">
        <v>4</v>
      </c>
      <c r="C21">
        <v>11</v>
      </c>
      <c r="D21">
        <v>23</v>
      </c>
      <c r="E21">
        <v>0.86764705882352899</v>
      </c>
      <c r="F21">
        <v>0.80272108843537404</v>
      </c>
      <c r="G21">
        <v>553</v>
      </c>
    </row>
    <row r="22" spans="1:7" x14ac:dyDescent="0.3">
      <c r="A22">
        <v>0.68817204301075297</v>
      </c>
      <c r="B22">
        <v>3.5</v>
      </c>
      <c r="C22">
        <v>11</v>
      </c>
      <c r="D22">
        <v>26</v>
      </c>
      <c r="E22">
        <v>0.86764705882352899</v>
      </c>
      <c r="F22">
        <v>0.80272108843537404</v>
      </c>
      <c r="G22">
        <v>787</v>
      </c>
    </row>
    <row r="23" spans="1:7" x14ac:dyDescent="0.3">
      <c r="A23">
        <v>0.68817204301075297</v>
      </c>
      <c r="B23">
        <v>3.25</v>
      </c>
      <c r="C23">
        <v>9</v>
      </c>
      <c r="D23">
        <v>21</v>
      </c>
      <c r="E23">
        <v>0.82352941176470595</v>
      </c>
      <c r="F23">
        <v>0.79432624113475203</v>
      </c>
      <c r="G23">
        <v>233</v>
      </c>
    </row>
    <row r="24" spans="1:7" x14ac:dyDescent="0.3">
      <c r="A24">
        <v>0.68817204301075297</v>
      </c>
      <c r="B24">
        <v>3.25</v>
      </c>
      <c r="C24">
        <v>13</v>
      </c>
      <c r="D24">
        <v>28</v>
      </c>
      <c r="E24">
        <v>0.88235294117647101</v>
      </c>
      <c r="F24">
        <v>0.80536912751677803</v>
      </c>
      <c r="G24">
        <v>173</v>
      </c>
    </row>
    <row r="25" spans="1:7" x14ac:dyDescent="0.3">
      <c r="A25">
        <v>0.68817204301075297</v>
      </c>
      <c r="B25">
        <v>4</v>
      </c>
      <c r="C25">
        <v>11</v>
      </c>
      <c r="D25">
        <v>27</v>
      </c>
      <c r="E25">
        <v>0.79411764705882304</v>
      </c>
      <c r="F25">
        <v>0.78832116788321205</v>
      </c>
      <c r="G25">
        <v>40</v>
      </c>
    </row>
    <row r="26" spans="1:7" x14ac:dyDescent="0.3">
      <c r="A26">
        <v>0.69892473118279597</v>
      </c>
      <c r="B26">
        <v>3</v>
      </c>
      <c r="C26">
        <v>12</v>
      </c>
      <c r="D26">
        <v>29</v>
      </c>
      <c r="E26">
        <v>0.83823529411764697</v>
      </c>
      <c r="F26">
        <v>0.80281690140845097</v>
      </c>
      <c r="G26">
        <v>251</v>
      </c>
    </row>
    <row r="27" spans="1:7" x14ac:dyDescent="0.3">
      <c r="A27">
        <v>0.69892473118279597</v>
      </c>
      <c r="B27">
        <v>3.5</v>
      </c>
      <c r="C27">
        <v>11</v>
      </c>
      <c r="D27">
        <v>25</v>
      </c>
      <c r="E27">
        <v>0.82352941176470595</v>
      </c>
      <c r="F27">
        <v>0.8</v>
      </c>
      <c r="G27">
        <v>949</v>
      </c>
    </row>
    <row r="28" spans="1:7" x14ac:dyDescent="0.3">
      <c r="A28">
        <v>0.69892473118279597</v>
      </c>
      <c r="B28">
        <v>4</v>
      </c>
      <c r="C28">
        <v>9</v>
      </c>
      <c r="D28">
        <v>21</v>
      </c>
      <c r="E28">
        <v>0.82352941176470595</v>
      </c>
      <c r="F28">
        <v>0.8</v>
      </c>
      <c r="G28">
        <v>67</v>
      </c>
    </row>
    <row r="29" spans="1:7" x14ac:dyDescent="0.3">
      <c r="A29">
        <v>0.69892473118279597</v>
      </c>
      <c r="B29">
        <v>3.25</v>
      </c>
      <c r="C29">
        <v>18</v>
      </c>
      <c r="D29">
        <v>38</v>
      </c>
      <c r="E29">
        <v>0.83823529411764697</v>
      </c>
      <c r="F29">
        <v>0.80281690140845097</v>
      </c>
      <c r="G29">
        <v>212</v>
      </c>
    </row>
    <row r="30" spans="1:7" x14ac:dyDescent="0.3">
      <c r="A30">
        <v>0.70967741935483897</v>
      </c>
      <c r="B30">
        <v>3.75</v>
      </c>
      <c r="C30">
        <v>11</v>
      </c>
      <c r="D30">
        <v>23</v>
      </c>
      <c r="E30">
        <v>0.82352941176470595</v>
      </c>
      <c r="F30">
        <v>0.805755395683453</v>
      </c>
      <c r="G30">
        <v>644</v>
      </c>
    </row>
    <row r="31" spans="1:7" x14ac:dyDescent="0.3">
      <c r="A31">
        <v>0.70967741935483897</v>
      </c>
      <c r="B31">
        <v>2.5</v>
      </c>
      <c r="C31">
        <v>11</v>
      </c>
      <c r="D31">
        <v>23</v>
      </c>
      <c r="E31">
        <v>0.86764705882352899</v>
      </c>
      <c r="F31">
        <v>0.81379310344827605</v>
      </c>
      <c r="G31">
        <v>249</v>
      </c>
    </row>
    <row r="32" spans="1:7" x14ac:dyDescent="0.3">
      <c r="A32">
        <v>0.70967741935483897</v>
      </c>
      <c r="B32">
        <v>3.75</v>
      </c>
      <c r="C32">
        <v>10</v>
      </c>
      <c r="D32">
        <v>19</v>
      </c>
      <c r="E32">
        <v>0.80882352941176505</v>
      </c>
      <c r="F32">
        <v>0.80291970802919699</v>
      </c>
      <c r="G32">
        <v>26</v>
      </c>
    </row>
    <row r="33" spans="1:7" x14ac:dyDescent="0.3">
      <c r="A33">
        <v>0.70967741935483897</v>
      </c>
      <c r="B33">
        <v>4</v>
      </c>
      <c r="C33">
        <v>14</v>
      </c>
      <c r="D33">
        <v>25</v>
      </c>
      <c r="E33">
        <v>0.86764705882352899</v>
      </c>
      <c r="F33">
        <v>0.81379310344827605</v>
      </c>
      <c r="G33">
        <v>468</v>
      </c>
    </row>
    <row r="34" spans="1:7" x14ac:dyDescent="0.3">
      <c r="A34">
        <v>0.70967741935483897</v>
      </c>
      <c r="B34">
        <v>4</v>
      </c>
      <c r="C34">
        <v>7</v>
      </c>
      <c r="D34">
        <v>11</v>
      </c>
      <c r="E34">
        <v>0.91176470588235303</v>
      </c>
      <c r="F34">
        <v>0.82119205298013198</v>
      </c>
      <c r="G34">
        <v>485</v>
      </c>
    </row>
    <row r="35" spans="1:7" x14ac:dyDescent="0.3">
      <c r="A35">
        <v>0.70967741935483897</v>
      </c>
      <c r="B35">
        <v>2.5</v>
      </c>
      <c r="C35">
        <v>13</v>
      </c>
      <c r="D35">
        <v>32</v>
      </c>
      <c r="E35">
        <v>0.86764705882352899</v>
      </c>
      <c r="F35">
        <v>0.81379310344827605</v>
      </c>
      <c r="G35">
        <v>355</v>
      </c>
    </row>
    <row r="36" spans="1:7" x14ac:dyDescent="0.3">
      <c r="A36">
        <v>0.70967741935483897</v>
      </c>
      <c r="B36">
        <v>3.25</v>
      </c>
      <c r="C36">
        <v>13</v>
      </c>
      <c r="D36">
        <v>23</v>
      </c>
      <c r="E36">
        <v>0.82352941176470595</v>
      </c>
      <c r="F36">
        <v>0.805755395683453</v>
      </c>
      <c r="G36">
        <v>612</v>
      </c>
    </row>
    <row r="37" spans="1:7" x14ac:dyDescent="0.3">
      <c r="A37">
        <v>0.72043010752688197</v>
      </c>
      <c r="B37">
        <v>3.75</v>
      </c>
      <c r="C37">
        <v>11</v>
      </c>
      <c r="D37">
        <v>21</v>
      </c>
      <c r="E37">
        <v>0.85294117647058798</v>
      </c>
      <c r="F37">
        <v>0.81690140845070403</v>
      </c>
      <c r="G37">
        <v>141</v>
      </c>
    </row>
    <row r="38" spans="1:7" x14ac:dyDescent="0.3">
      <c r="A38">
        <v>0.72043010752688197</v>
      </c>
      <c r="B38">
        <v>3.25</v>
      </c>
      <c r="C38">
        <v>10</v>
      </c>
      <c r="D38">
        <v>20</v>
      </c>
      <c r="E38">
        <v>0.89705882352941202</v>
      </c>
      <c r="F38">
        <v>0.82432432432432401</v>
      </c>
      <c r="G38">
        <v>822</v>
      </c>
    </row>
    <row r="39" spans="1:7" x14ac:dyDescent="0.3">
      <c r="A39">
        <v>0.72043010752688197</v>
      </c>
      <c r="B39">
        <v>2.5</v>
      </c>
      <c r="C39">
        <v>8</v>
      </c>
      <c r="D39">
        <v>20</v>
      </c>
      <c r="E39">
        <v>0.86764705882352899</v>
      </c>
      <c r="F39">
        <v>0.81944444444444398</v>
      </c>
      <c r="G39">
        <v>82</v>
      </c>
    </row>
    <row r="40" spans="1:7" x14ac:dyDescent="0.3">
      <c r="A40">
        <v>0.73118279569892497</v>
      </c>
      <c r="B40">
        <v>4</v>
      </c>
      <c r="C40">
        <v>10</v>
      </c>
      <c r="D40">
        <v>15</v>
      </c>
      <c r="E40">
        <v>0.85294117647058798</v>
      </c>
      <c r="F40">
        <v>0.82269503546099298</v>
      </c>
      <c r="G40">
        <v>602</v>
      </c>
    </row>
    <row r="41" spans="1:7" x14ac:dyDescent="0.3">
      <c r="A41">
        <v>0.73118279569892497</v>
      </c>
      <c r="B41">
        <v>2</v>
      </c>
      <c r="C41">
        <v>19</v>
      </c>
      <c r="D41">
        <v>36</v>
      </c>
      <c r="E41">
        <v>0.85294117647058798</v>
      </c>
      <c r="F41">
        <v>0.82269503546099298</v>
      </c>
      <c r="G41">
        <v>908</v>
      </c>
    </row>
    <row r="42" spans="1:7" x14ac:dyDescent="0.3">
      <c r="A42">
        <v>0.73118279569892497</v>
      </c>
      <c r="B42">
        <v>4</v>
      </c>
      <c r="C42">
        <v>6</v>
      </c>
      <c r="D42">
        <v>12</v>
      </c>
      <c r="E42">
        <v>0.91176470588235303</v>
      </c>
      <c r="F42">
        <v>0.83221476510067105</v>
      </c>
      <c r="G42">
        <v>450</v>
      </c>
    </row>
    <row r="43" spans="1:7" x14ac:dyDescent="0.3">
      <c r="A43">
        <v>0.74193548387096797</v>
      </c>
      <c r="B43">
        <v>4</v>
      </c>
      <c r="C43">
        <v>12</v>
      </c>
      <c r="D43">
        <v>24</v>
      </c>
      <c r="E43">
        <v>0.89705882352941202</v>
      </c>
      <c r="F43">
        <v>0.83561643835616395</v>
      </c>
      <c r="G43">
        <v>946</v>
      </c>
    </row>
    <row r="44" spans="1:7" x14ac:dyDescent="0.3">
      <c r="A44">
        <v>0.74193548387096797</v>
      </c>
      <c r="B44">
        <v>2</v>
      </c>
      <c r="C44">
        <v>10</v>
      </c>
      <c r="D44">
        <v>24</v>
      </c>
      <c r="E44">
        <v>0.91176470588235303</v>
      </c>
      <c r="F44">
        <v>0.83783783783783805</v>
      </c>
      <c r="G44">
        <v>747</v>
      </c>
    </row>
    <row r="45" spans="1:7" x14ac:dyDescent="0.3">
      <c r="A45">
        <v>0.75268817204301097</v>
      </c>
      <c r="B45">
        <v>3.75</v>
      </c>
      <c r="C45">
        <v>10</v>
      </c>
      <c r="D45">
        <v>21</v>
      </c>
      <c r="E45">
        <v>0.92647058823529405</v>
      </c>
      <c r="F45">
        <v>0.84563758389261701</v>
      </c>
      <c r="G45">
        <v>417</v>
      </c>
    </row>
    <row r="46" spans="1:7" x14ac:dyDescent="0.3">
      <c r="A46">
        <v>0.75268817204301097</v>
      </c>
      <c r="B46">
        <v>3</v>
      </c>
      <c r="C46">
        <v>9</v>
      </c>
      <c r="D46">
        <v>23</v>
      </c>
      <c r="E46">
        <v>0.91176470588235303</v>
      </c>
      <c r="F46">
        <v>0.843537414965986</v>
      </c>
      <c r="G46">
        <v>808</v>
      </c>
    </row>
    <row r="47" spans="1:7" x14ac:dyDescent="0.3">
      <c r="A47">
        <v>0.75268817204301097</v>
      </c>
      <c r="B47">
        <v>3.75</v>
      </c>
      <c r="C47">
        <v>12</v>
      </c>
      <c r="D47">
        <v>24</v>
      </c>
      <c r="E47">
        <v>0.89705882352941202</v>
      </c>
      <c r="F47">
        <v>0.84137931034482805</v>
      </c>
      <c r="G47">
        <v>421</v>
      </c>
    </row>
    <row r="48" spans="1:7" x14ac:dyDescent="0.3">
      <c r="A48">
        <v>0.76344086021505397</v>
      </c>
      <c r="B48">
        <v>3.75</v>
      </c>
      <c r="C48">
        <v>12</v>
      </c>
      <c r="D48">
        <v>27</v>
      </c>
      <c r="E48">
        <v>0.86764705882352899</v>
      </c>
      <c r="F48">
        <v>0.84285714285714297</v>
      </c>
      <c r="G48">
        <v>313</v>
      </c>
    </row>
    <row r="49" spans="1:7" x14ac:dyDescent="0.3">
      <c r="A49">
        <v>0.76344086021505397</v>
      </c>
      <c r="B49">
        <v>4</v>
      </c>
      <c r="C49">
        <v>10</v>
      </c>
      <c r="D49">
        <v>20</v>
      </c>
      <c r="E49">
        <v>0.98529411764705899</v>
      </c>
      <c r="F49">
        <v>0.85897435897435903</v>
      </c>
      <c r="G49">
        <v>5</v>
      </c>
    </row>
    <row r="50" spans="1:7" x14ac:dyDescent="0.3">
      <c r="A50">
        <v>0.76344086021505397</v>
      </c>
      <c r="B50">
        <v>2.25</v>
      </c>
      <c r="C50">
        <v>13</v>
      </c>
      <c r="D50">
        <v>32</v>
      </c>
      <c r="E50">
        <v>0.97058823529411797</v>
      </c>
      <c r="F50">
        <v>0.85714285714285698</v>
      </c>
      <c r="G50">
        <v>610</v>
      </c>
    </row>
    <row r="51" spans="1:7" x14ac:dyDescent="0.3">
      <c r="A51">
        <v>0.77419354838709697</v>
      </c>
      <c r="B51">
        <v>4</v>
      </c>
      <c r="C51">
        <v>9</v>
      </c>
      <c r="D51">
        <v>17</v>
      </c>
      <c r="E51">
        <v>0.88235294117647101</v>
      </c>
      <c r="F51">
        <v>0.85106382978723405</v>
      </c>
      <c r="G51">
        <v>297</v>
      </c>
    </row>
    <row r="52" spans="1:7" x14ac:dyDescent="0.3">
      <c r="A52">
        <v>0.77419354838709697</v>
      </c>
      <c r="B52">
        <v>3</v>
      </c>
      <c r="C52">
        <v>12</v>
      </c>
      <c r="D52">
        <v>26</v>
      </c>
      <c r="E52">
        <v>0.91176470588235303</v>
      </c>
      <c r="F52">
        <v>0.85517241379310305</v>
      </c>
      <c r="G52">
        <v>697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workbookViewId="0">
      <selection activeCell="B2" sqref="B2"/>
    </sheetView>
  </sheetViews>
  <sheetFormatPr defaultColWidth="11.5546875" defaultRowHeight="14.4" x14ac:dyDescent="0.3"/>
  <cols>
    <col min="2" max="3" width="23.5546875" customWidth="1"/>
  </cols>
  <sheetData>
    <row r="1" spans="1:8" x14ac:dyDescent="0.3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</v>
      </c>
      <c r="G1" t="s">
        <v>4</v>
      </c>
      <c r="H1" t="s">
        <v>8</v>
      </c>
    </row>
    <row r="2" spans="1:8" x14ac:dyDescent="0.3">
      <c r="A2">
        <v>0.53763440860215095</v>
      </c>
      <c r="B2">
        <v>4</v>
      </c>
      <c r="C2">
        <v>0.25</v>
      </c>
      <c r="D2">
        <v>13</v>
      </c>
      <c r="E2">
        <v>24</v>
      </c>
      <c r="F2">
        <v>0.64705882352941202</v>
      </c>
      <c r="G2">
        <v>0.67175572519084004</v>
      </c>
      <c r="H2">
        <v>549</v>
      </c>
    </row>
    <row r="3" spans="1:8" x14ac:dyDescent="0.3">
      <c r="A3">
        <v>0.60215053763440896</v>
      </c>
      <c r="B3">
        <v>2</v>
      </c>
      <c r="C3">
        <v>4</v>
      </c>
      <c r="D3">
        <v>16</v>
      </c>
      <c r="E3">
        <v>36</v>
      </c>
      <c r="F3">
        <v>0.73529411764705899</v>
      </c>
      <c r="G3">
        <v>0.72992700729926996</v>
      </c>
      <c r="H3">
        <v>319</v>
      </c>
    </row>
    <row r="4" spans="1:8" x14ac:dyDescent="0.3">
      <c r="A4">
        <v>0.62365591397849496</v>
      </c>
      <c r="B4">
        <v>2.25</v>
      </c>
      <c r="C4">
        <v>0.5</v>
      </c>
      <c r="D4">
        <v>11</v>
      </c>
      <c r="E4">
        <v>21</v>
      </c>
      <c r="F4">
        <v>0.76470588235294101</v>
      </c>
      <c r="G4">
        <v>0.74820143884892099</v>
      </c>
      <c r="H4">
        <v>449</v>
      </c>
    </row>
    <row r="5" spans="1:8" x14ac:dyDescent="0.3">
      <c r="A5">
        <v>0.62365591397849496</v>
      </c>
      <c r="B5">
        <v>0.75</v>
      </c>
      <c r="C5">
        <v>0.25</v>
      </c>
      <c r="D5">
        <v>18</v>
      </c>
      <c r="E5">
        <v>42</v>
      </c>
      <c r="F5">
        <v>0.69117647058823495</v>
      </c>
      <c r="G5">
        <v>0.72868217054263595</v>
      </c>
      <c r="H5">
        <v>797</v>
      </c>
    </row>
    <row r="6" spans="1:8" x14ac:dyDescent="0.3">
      <c r="A6">
        <v>0.63440860215053796</v>
      </c>
      <c r="B6">
        <v>2.25</v>
      </c>
      <c r="C6">
        <v>0.75</v>
      </c>
      <c r="D6">
        <v>14</v>
      </c>
      <c r="E6">
        <v>35</v>
      </c>
      <c r="F6">
        <v>0.77941176470588203</v>
      </c>
      <c r="G6">
        <v>0.75714285714285701</v>
      </c>
      <c r="H6">
        <v>386</v>
      </c>
    </row>
    <row r="7" spans="1:8" x14ac:dyDescent="0.3">
      <c r="A7">
        <v>0.63440860215053796</v>
      </c>
      <c r="B7">
        <v>3.75</v>
      </c>
      <c r="C7">
        <v>0.25</v>
      </c>
      <c r="D7">
        <v>14</v>
      </c>
      <c r="E7">
        <v>30</v>
      </c>
      <c r="F7">
        <v>0.70588235294117696</v>
      </c>
      <c r="G7">
        <v>0.73846153846153895</v>
      </c>
      <c r="H7">
        <v>233</v>
      </c>
    </row>
    <row r="8" spans="1:8" x14ac:dyDescent="0.3">
      <c r="A8">
        <v>0.64516129032258096</v>
      </c>
      <c r="B8">
        <v>4</v>
      </c>
      <c r="C8">
        <v>0.25</v>
      </c>
      <c r="D8">
        <v>13</v>
      </c>
      <c r="E8">
        <v>28</v>
      </c>
      <c r="F8">
        <v>0.75</v>
      </c>
      <c r="G8">
        <v>0.75555555555555498</v>
      </c>
      <c r="H8">
        <v>865</v>
      </c>
    </row>
    <row r="9" spans="1:8" x14ac:dyDescent="0.3">
      <c r="A9">
        <v>0.64516129032258096</v>
      </c>
      <c r="B9">
        <v>0.75</v>
      </c>
      <c r="C9">
        <v>0.5</v>
      </c>
      <c r="D9">
        <v>18</v>
      </c>
      <c r="E9">
        <v>40</v>
      </c>
      <c r="F9">
        <v>0.85294117647058798</v>
      </c>
      <c r="G9">
        <v>0.778523489932886</v>
      </c>
      <c r="H9">
        <v>808</v>
      </c>
    </row>
    <row r="10" spans="1:8" x14ac:dyDescent="0.3">
      <c r="A10">
        <v>0.64516129032258096</v>
      </c>
      <c r="B10">
        <v>4</v>
      </c>
      <c r="C10">
        <v>1.5</v>
      </c>
      <c r="D10">
        <v>11</v>
      </c>
      <c r="E10">
        <v>25</v>
      </c>
      <c r="F10">
        <v>0.80882352941176505</v>
      </c>
      <c r="G10">
        <v>0.76923076923076905</v>
      </c>
      <c r="H10">
        <v>62</v>
      </c>
    </row>
    <row r="11" spans="1:8" x14ac:dyDescent="0.3">
      <c r="A11">
        <v>0.64516129032258096</v>
      </c>
      <c r="B11">
        <v>2.25</v>
      </c>
      <c r="C11">
        <v>0.25</v>
      </c>
      <c r="D11">
        <v>11</v>
      </c>
      <c r="E11">
        <v>26</v>
      </c>
      <c r="F11">
        <v>0.79411764705882304</v>
      </c>
      <c r="G11">
        <v>0.76595744680851097</v>
      </c>
      <c r="H11">
        <v>475</v>
      </c>
    </row>
    <row r="12" spans="1:8" x14ac:dyDescent="0.3">
      <c r="A12">
        <v>0.65591397849462396</v>
      </c>
      <c r="B12">
        <v>2.5</v>
      </c>
      <c r="C12">
        <v>0.25</v>
      </c>
      <c r="D12">
        <v>11</v>
      </c>
      <c r="E12">
        <v>24</v>
      </c>
      <c r="F12">
        <v>0.79411764705882304</v>
      </c>
      <c r="G12">
        <v>0.77142857142857102</v>
      </c>
      <c r="H12">
        <v>658</v>
      </c>
    </row>
    <row r="13" spans="1:8" x14ac:dyDescent="0.3">
      <c r="A13">
        <v>0.65591397849462396</v>
      </c>
      <c r="B13">
        <v>3.75</v>
      </c>
      <c r="C13">
        <v>1.25</v>
      </c>
      <c r="D13">
        <v>11</v>
      </c>
      <c r="E13">
        <v>23</v>
      </c>
      <c r="F13">
        <v>0.79411764705882304</v>
      </c>
      <c r="G13">
        <v>0.77142857142857102</v>
      </c>
      <c r="H13">
        <v>684</v>
      </c>
    </row>
    <row r="14" spans="1:8" x14ac:dyDescent="0.3">
      <c r="A14">
        <v>0.65591397849462396</v>
      </c>
      <c r="B14">
        <v>2.5</v>
      </c>
      <c r="C14">
        <v>0.75</v>
      </c>
      <c r="D14">
        <v>11</v>
      </c>
      <c r="E14">
        <v>28</v>
      </c>
      <c r="F14">
        <v>0.77941176470588203</v>
      </c>
      <c r="G14">
        <v>0.76811594202898603</v>
      </c>
      <c r="H14">
        <v>40</v>
      </c>
    </row>
    <row r="15" spans="1:8" x14ac:dyDescent="0.3">
      <c r="A15">
        <v>0.66666666666666696</v>
      </c>
      <c r="B15">
        <v>2</v>
      </c>
      <c r="C15">
        <v>0.25</v>
      </c>
      <c r="D15">
        <v>12</v>
      </c>
      <c r="E15">
        <v>32</v>
      </c>
      <c r="F15">
        <v>0.79411764705882304</v>
      </c>
      <c r="G15">
        <v>0.77697841726618699</v>
      </c>
      <c r="H15">
        <v>251</v>
      </c>
    </row>
    <row r="16" spans="1:8" x14ac:dyDescent="0.3">
      <c r="A16">
        <v>0.66666666666666696</v>
      </c>
      <c r="B16">
        <v>1.25</v>
      </c>
      <c r="C16">
        <v>3.75</v>
      </c>
      <c r="D16">
        <v>15</v>
      </c>
      <c r="E16">
        <v>36</v>
      </c>
      <c r="F16">
        <v>0.75</v>
      </c>
      <c r="G16">
        <v>0.766917293233083</v>
      </c>
      <c r="H16">
        <v>275</v>
      </c>
    </row>
    <row r="17" spans="1:8" x14ac:dyDescent="0.3">
      <c r="A17">
        <v>0.66666666666666696</v>
      </c>
      <c r="B17">
        <v>3</v>
      </c>
      <c r="C17">
        <v>0.75</v>
      </c>
      <c r="D17">
        <v>10</v>
      </c>
      <c r="E17">
        <v>22</v>
      </c>
      <c r="F17">
        <v>0.80882352941176505</v>
      </c>
      <c r="G17">
        <v>0.780141843971631</v>
      </c>
      <c r="H17">
        <v>29</v>
      </c>
    </row>
    <row r="18" spans="1:8" x14ac:dyDescent="0.3">
      <c r="A18">
        <v>0.66666666666666696</v>
      </c>
      <c r="B18">
        <v>3.5</v>
      </c>
      <c r="C18">
        <v>1.25</v>
      </c>
      <c r="D18">
        <v>11</v>
      </c>
      <c r="E18">
        <v>27</v>
      </c>
      <c r="F18">
        <v>0.77941176470588203</v>
      </c>
      <c r="G18">
        <v>0.773722627737226</v>
      </c>
      <c r="H18">
        <v>213</v>
      </c>
    </row>
    <row r="19" spans="1:8" x14ac:dyDescent="0.3">
      <c r="A19">
        <v>0.67741935483870996</v>
      </c>
      <c r="B19">
        <v>3.25</v>
      </c>
      <c r="C19">
        <v>1.25</v>
      </c>
      <c r="D19">
        <v>13</v>
      </c>
      <c r="E19">
        <v>38</v>
      </c>
      <c r="F19">
        <v>0.83823529411764697</v>
      </c>
      <c r="G19">
        <v>0.79166666666666696</v>
      </c>
      <c r="H19">
        <v>594</v>
      </c>
    </row>
    <row r="20" spans="1:8" x14ac:dyDescent="0.3">
      <c r="A20">
        <v>0.67741935483870996</v>
      </c>
      <c r="B20">
        <v>3</v>
      </c>
      <c r="C20">
        <v>0.5</v>
      </c>
      <c r="D20">
        <v>13</v>
      </c>
      <c r="E20">
        <v>24</v>
      </c>
      <c r="F20">
        <v>0.82352941176470595</v>
      </c>
      <c r="G20">
        <v>0.78873239436619702</v>
      </c>
      <c r="H20">
        <v>468</v>
      </c>
    </row>
    <row r="21" spans="1:8" x14ac:dyDescent="0.3">
      <c r="A21">
        <v>0.67741935483870996</v>
      </c>
      <c r="B21">
        <v>4</v>
      </c>
      <c r="C21">
        <v>0.25</v>
      </c>
      <c r="D21">
        <v>19</v>
      </c>
      <c r="E21">
        <v>33</v>
      </c>
      <c r="F21">
        <v>0.86764705882352899</v>
      </c>
      <c r="G21">
        <v>0.79729729729729704</v>
      </c>
      <c r="H21">
        <v>212</v>
      </c>
    </row>
    <row r="22" spans="1:8" x14ac:dyDescent="0.3">
      <c r="A22">
        <v>0.68817204301075297</v>
      </c>
      <c r="B22">
        <v>3.5</v>
      </c>
      <c r="C22">
        <v>0.75</v>
      </c>
      <c r="D22">
        <v>11</v>
      </c>
      <c r="E22">
        <v>23</v>
      </c>
      <c r="F22">
        <v>0.86764705882352899</v>
      </c>
      <c r="G22">
        <v>0.80272108843537404</v>
      </c>
      <c r="H22">
        <v>553</v>
      </c>
    </row>
    <row r="23" spans="1:8" x14ac:dyDescent="0.3">
      <c r="A23">
        <v>0.68817204301075297</v>
      </c>
      <c r="B23">
        <v>2.5</v>
      </c>
      <c r="C23">
        <v>0.25</v>
      </c>
      <c r="D23">
        <v>9</v>
      </c>
      <c r="E23">
        <v>20</v>
      </c>
      <c r="F23">
        <v>0.86764705882352899</v>
      </c>
      <c r="G23">
        <v>0.80272108843537404</v>
      </c>
      <c r="H23">
        <v>787</v>
      </c>
    </row>
    <row r="24" spans="1:8" x14ac:dyDescent="0.3">
      <c r="A24">
        <v>0.68817204301075297</v>
      </c>
      <c r="B24">
        <v>2</v>
      </c>
      <c r="C24">
        <v>3</v>
      </c>
      <c r="D24">
        <v>15</v>
      </c>
      <c r="E24">
        <v>37</v>
      </c>
      <c r="F24">
        <v>0.80882352941176505</v>
      </c>
      <c r="G24">
        <v>0.79136690647482</v>
      </c>
      <c r="H24">
        <v>102</v>
      </c>
    </row>
    <row r="25" spans="1:8" x14ac:dyDescent="0.3">
      <c r="A25">
        <v>0.68817204301075297</v>
      </c>
      <c r="B25">
        <v>3.5</v>
      </c>
      <c r="C25">
        <v>0.25</v>
      </c>
      <c r="D25">
        <v>11</v>
      </c>
      <c r="E25">
        <v>19</v>
      </c>
      <c r="F25">
        <v>0.83823529411764697</v>
      </c>
      <c r="G25">
        <v>0.79720279720279696</v>
      </c>
      <c r="H25">
        <v>908</v>
      </c>
    </row>
    <row r="26" spans="1:8" x14ac:dyDescent="0.3">
      <c r="A26">
        <v>0.68817204301075297</v>
      </c>
      <c r="B26">
        <v>3</v>
      </c>
      <c r="C26">
        <v>0.25</v>
      </c>
      <c r="D26">
        <v>13</v>
      </c>
      <c r="E26">
        <v>25</v>
      </c>
      <c r="F26">
        <v>0.80882352941176505</v>
      </c>
      <c r="G26">
        <v>0.79136690647482</v>
      </c>
      <c r="H26">
        <v>141</v>
      </c>
    </row>
    <row r="27" spans="1:8" x14ac:dyDescent="0.3">
      <c r="A27">
        <v>0.69892473118279597</v>
      </c>
      <c r="B27">
        <v>3</v>
      </c>
      <c r="C27">
        <v>0.5</v>
      </c>
      <c r="D27">
        <v>9</v>
      </c>
      <c r="E27">
        <v>20</v>
      </c>
      <c r="F27">
        <v>0.82352941176470595</v>
      </c>
      <c r="G27">
        <v>0.8</v>
      </c>
      <c r="H27">
        <v>949</v>
      </c>
    </row>
    <row r="28" spans="1:8" x14ac:dyDescent="0.3">
      <c r="A28">
        <v>0.69892473118279597</v>
      </c>
      <c r="B28">
        <v>3</v>
      </c>
      <c r="C28">
        <v>0.25</v>
      </c>
      <c r="D28">
        <v>9</v>
      </c>
      <c r="E28">
        <v>21</v>
      </c>
      <c r="F28">
        <v>0.82352941176470595</v>
      </c>
      <c r="G28">
        <v>0.8</v>
      </c>
      <c r="H28">
        <v>67</v>
      </c>
    </row>
    <row r="29" spans="1:8" x14ac:dyDescent="0.3">
      <c r="A29">
        <v>0.69892473118279597</v>
      </c>
      <c r="B29">
        <v>3.75</v>
      </c>
      <c r="C29">
        <v>0.5</v>
      </c>
      <c r="D29">
        <v>14</v>
      </c>
      <c r="E29">
        <v>24</v>
      </c>
      <c r="F29">
        <v>0.79411764705882304</v>
      </c>
      <c r="G29">
        <v>0.79411764705882304</v>
      </c>
      <c r="H29">
        <v>95</v>
      </c>
    </row>
    <row r="30" spans="1:8" x14ac:dyDescent="0.3">
      <c r="A30">
        <v>0.69892473118279597</v>
      </c>
      <c r="B30">
        <v>3.25</v>
      </c>
      <c r="C30">
        <v>1.5</v>
      </c>
      <c r="D30">
        <v>15</v>
      </c>
      <c r="E30">
        <v>33</v>
      </c>
      <c r="F30">
        <v>0.83823529411764697</v>
      </c>
      <c r="G30">
        <v>0.80281690140845097</v>
      </c>
      <c r="H30">
        <v>355</v>
      </c>
    </row>
    <row r="31" spans="1:8" x14ac:dyDescent="0.3">
      <c r="A31">
        <v>0.69892473118279597</v>
      </c>
      <c r="B31">
        <v>3.25</v>
      </c>
      <c r="C31">
        <v>0.75</v>
      </c>
      <c r="D31">
        <v>14</v>
      </c>
      <c r="E31">
        <v>23</v>
      </c>
      <c r="F31">
        <v>0.92647058823529405</v>
      </c>
      <c r="G31">
        <v>0.81818181818181801</v>
      </c>
      <c r="H31">
        <v>173</v>
      </c>
    </row>
    <row r="32" spans="1:8" x14ac:dyDescent="0.3">
      <c r="A32">
        <v>0.70967741935483897</v>
      </c>
      <c r="B32">
        <v>3</v>
      </c>
      <c r="C32">
        <v>0.5</v>
      </c>
      <c r="D32">
        <v>11</v>
      </c>
      <c r="E32">
        <v>23</v>
      </c>
      <c r="F32">
        <v>0.82352941176470595</v>
      </c>
      <c r="G32">
        <v>0.805755395683453</v>
      </c>
      <c r="H32">
        <v>644</v>
      </c>
    </row>
    <row r="33" spans="1:8" x14ac:dyDescent="0.3">
      <c r="A33">
        <v>0.70967741935483897</v>
      </c>
      <c r="B33">
        <v>2.25</v>
      </c>
      <c r="C33">
        <v>0.75</v>
      </c>
      <c r="D33">
        <v>11</v>
      </c>
      <c r="E33">
        <v>23</v>
      </c>
      <c r="F33">
        <v>0.86764705882352899</v>
      </c>
      <c r="G33">
        <v>0.81379310344827605</v>
      </c>
      <c r="H33">
        <v>249</v>
      </c>
    </row>
    <row r="34" spans="1:8" x14ac:dyDescent="0.3">
      <c r="A34">
        <v>0.70967741935483897</v>
      </c>
      <c r="B34">
        <v>3</v>
      </c>
      <c r="C34">
        <v>0.5</v>
      </c>
      <c r="D34">
        <v>10</v>
      </c>
      <c r="E34">
        <v>19</v>
      </c>
      <c r="F34">
        <v>0.80882352941176505</v>
      </c>
      <c r="G34">
        <v>0.80291970802919699</v>
      </c>
      <c r="H34">
        <v>26</v>
      </c>
    </row>
    <row r="35" spans="1:8" x14ac:dyDescent="0.3">
      <c r="A35">
        <v>0.70967741935483897</v>
      </c>
      <c r="B35">
        <v>3</v>
      </c>
      <c r="C35">
        <v>0.75</v>
      </c>
      <c r="D35">
        <v>8</v>
      </c>
      <c r="E35">
        <v>17</v>
      </c>
      <c r="F35">
        <v>0.88235294117647101</v>
      </c>
      <c r="G35">
        <v>0.81632653061224503</v>
      </c>
      <c r="H35">
        <v>48</v>
      </c>
    </row>
    <row r="36" spans="1:8" x14ac:dyDescent="0.3">
      <c r="A36">
        <v>0.70967741935483897</v>
      </c>
      <c r="B36">
        <v>3</v>
      </c>
      <c r="C36">
        <v>0.25</v>
      </c>
      <c r="D36">
        <v>8</v>
      </c>
      <c r="E36">
        <v>13</v>
      </c>
      <c r="F36">
        <v>0.91176470588235303</v>
      </c>
      <c r="G36">
        <v>0.82119205298013198</v>
      </c>
      <c r="H36">
        <v>485</v>
      </c>
    </row>
    <row r="37" spans="1:8" x14ac:dyDescent="0.3">
      <c r="A37">
        <v>0.70967741935483897</v>
      </c>
      <c r="B37">
        <v>2</v>
      </c>
      <c r="C37">
        <v>0.25</v>
      </c>
      <c r="D37">
        <v>17</v>
      </c>
      <c r="E37">
        <v>31</v>
      </c>
      <c r="F37">
        <v>0.86764705882352899</v>
      </c>
      <c r="G37">
        <v>0.81379310344827605</v>
      </c>
      <c r="H37">
        <v>546</v>
      </c>
    </row>
    <row r="38" spans="1:8" x14ac:dyDescent="0.3">
      <c r="A38">
        <v>0.72043010752688197</v>
      </c>
      <c r="B38">
        <v>3.75</v>
      </c>
      <c r="C38">
        <v>0.25</v>
      </c>
      <c r="D38">
        <v>10</v>
      </c>
      <c r="E38">
        <v>23</v>
      </c>
      <c r="F38">
        <v>0.88235294117647101</v>
      </c>
      <c r="G38">
        <v>0.82191780821917804</v>
      </c>
      <c r="H38">
        <v>559</v>
      </c>
    </row>
    <row r="39" spans="1:8" x14ac:dyDescent="0.3">
      <c r="A39">
        <v>0.72043010752688197</v>
      </c>
      <c r="B39">
        <v>4</v>
      </c>
      <c r="C39">
        <v>0.5</v>
      </c>
      <c r="D39">
        <v>11</v>
      </c>
      <c r="E39">
        <v>16</v>
      </c>
      <c r="F39">
        <v>0.88235294117647101</v>
      </c>
      <c r="G39">
        <v>0.82191780821917804</v>
      </c>
      <c r="H39">
        <v>602</v>
      </c>
    </row>
    <row r="40" spans="1:8" x14ac:dyDescent="0.3">
      <c r="A40">
        <v>0.72043010752688197</v>
      </c>
      <c r="B40">
        <v>3.25</v>
      </c>
      <c r="C40">
        <v>1.5</v>
      </c>
      <c r="D40">
        <v>10</v>
      </c>
      <c r="E40">
        <v>32</v>
      </c>
      <c r="F40">
        <v>0.89705882352941202</v>
      </c>
      <c r="G40">
        <v>0.82432432432432401</v>
      </c>
      <c r="H40">
        <v>822</v>
      </c>
    </row>
    <row r="41" spans="1:8" x14ac:dyDescent="0.3">
      <c r="A41">
        <v>0.72043010752688197</v>
      </c>
      <c r="B41">
        <v>2.25</v>
      </c>
      <c r="C41">
        <v>0.75</v>
      </c>
      <c r="D41">
        <v>8</v>
      </c>
      <c r="E41">
        <v>20</v>
      </c>
      <c r="F41">
        <v>0.86764705882352899</v>
      </c>
      <c r="G41">
        <v>0.81944444444444398</v>
      </c>
      <c r="H41">
        <v>82</v>
      </c>
    </row>
    <row r="42" spans="1:8" x14ac:dyDescent="0.3">
      <c r="A42">
        <v>0.73118279569892497</v>
      </c>
      <c r="B42">
        <v>3.75</v>
      </c>
      <c r="C42">
        <v>0.75</v>
      </c>
      <c r="D42">
        <v>12</v>
      </c>
      <c r="E42">
        <v>24</v>
      </c>
      <c r="F42">
        <v>0.91176470588235303</v>
      </c>
      <c r="G42">
        <v>0.83221476510067105</v>
      </c>
      <c r="H42">
        <v>946</v>
      </c>
    </row>
    <row r="43" spans="1:8" x14ac:dyDescent="0.3">
      <c r="A43">
        <v>0.73118279569892497</v>
      </c>
      <c r="B43">
        <v>3.5</v>
      </c>
      <c r="C43">
        <v>0.25</v>
      </c>
      <c r="D43">
        <v>12</v>
      </c>
      <c r="E43">
        <v>24</v>
      </c>
      <c r="F43">
        <v>0.86764705882352899</v>
      </c>
      <c r="G43">
        <v>0.82517482517482499</v>
      </c>
      <c r="H43">
        <v>297</v>
      </c>
    </row>
    <row r="44" spans="1:8" x14ac:dyDescent="0.3">
      <c r="A44">
        <v>0.73118279569892497</v>
      </c>
      <c r="B44">
        <v>3.25</v>
      </c>
      <c r="C44">
        <v>0.25</v>
      </c>
      <c r="D44">
        <v>12</v>
      </c>
      <c r="E44">
        <v>22</v>
      </c>
      <c r="F44">
        <v>0.92647058823529405</v>
      </c>
      <c r="G44">
        <v>0.83443708609271505</v>
      </c>
      <c r="H44">
        <v>697</v>
      </c>
    </row>
    <row r="45" spans="1:8" x14ac:dyDescent="0.3">
      <c r="A45">
        <v>0.73118279569892497</v>
      </c>
      <c r="B45">
        <v>3.5</v>
      </c>
      <c r="C45">
        <v>0.25</v>
      </c>
      <c r="D45">
        <v>12</v>
      </c>
      <c r="E45">
        <v>25</v>
      </c>
      <c r="F45">
        <v>0.86764705882352899</v>
      </c>
      <c r="G45">
        <v>0.82517482517482499</v>
      </c>
      <c r="H45">
        <v>610</v>
      </c>
    </row>
    <row r="46" spans="1:8" x14ac:dyDescent="0.3">
      <c r="A46">
        <v>0.73118279569892497</v>
      </c>
      <c r="B46">
        <v>3.75</v>
      </c>
      <c r="C46">
        <v>0.75</v>
      </c>
      <c r="D46">
        <v>10</v>
      </c>
      <c r="E46">
        <v>17</v>
      </c>
      <c r="F46">
        <v>0.91176470588235303</v>
      </c>
      <c r="G46">
        <v>0.83221476510067105</v>
      </c>
      <c r="H46">
        <v>450</v>
      </c>
    </row>
    <row r="47" spans="1:8" x14ac:dyDescent="0.3">
      <c r="A47">
        <v>0.74193548387096797</v>
      </c>
      <c r="B47">
        <v>2.25</v>
      </c>
      <c r="C47">
        <v>0.75</v>
      </c>
      <c r="D47">
        <v>12</v>
      </c>
      <c r="E47">
        <v>25</v>
      </c>
      <c r="F47">
        <v>0.91176470588235303</v>
      </c>
      <c r="G47">
        <v>0.83783783783783805</v>
      </c>
      <c r="H47">
        <v>747</v>
      </c>
    </row>
    <row r="48" spans="1:8" x14ac:dyDescent="0.3">
      <c r="A48">
        <v>0.74193548387096797</v>
      </c>
      <c r="B48">
        <v>4</v>
      </c>
      <c r="C48">
        <v>0.75</v>
      </c>
      <c r="D48">
        <v>11</v>
      </c>
      <c r="E48">
        <v>17</v>
      </c>
      <c r="F48">
        <v>0.88235294117647101</v>
      </c>
      <c r="G48">
        <v>0.83333333333333304</v>
      </c>
      <c r="H48">
        <v>612</v>
      </c>
    </row>
    <row r="49" spans="1:8" x14ac:dyDescent="0.3">
      <c r="A49">
        <v>0.75268817204301097</v>
      </c>
      <c r="B49">
        <v>3</v>
      </c>
      <c r="C49">
        <v>0.5</v>
      </c>
      <c r="D49">
        <v>10</v>
      </c>
      <c r="E49">
        <v>21</v>
      </c>
      <c r="F49">
        <v>0.92647058823529405</v>
      </c>
      <c r="G49">
        <v>0.84563758389261701</v>
      </c>
      <c r="H49">
        <v>417</v>
      </c>
    </row>
    <row r="50" spans="1:8" x14ac:dyDescent="0.3">
      <c r="A50">
        <v>0.75268817204301097</v>
      </c>
      <c r="B50">
        <v>3.75</v>
      </c>
      <c r="C50">
        <v>0.25</v>
      </c>
      <c r="D50">
        <v>10</v>
      </c>
      <c r="E50">
        <v>18</v>
      </c>
      <c r="F50">
        <v>0.97058823529411797</v>
      </c>
      <c r="G50">
        <v>0.85161290322580696</v>
      </c>
      <c r="H50">
        <v>5</v>
      </c>
    </row>
    <row r="51" spans="1:8" x14ac:dyDescent="0.3">
      <c r="A51">
        <v>0.75268817204301097</v>
      </c>
      <c r="B51">
        <v>3</v>
      </c>
      <c r="C51">
        <v>0.5</v>
      </c>
      <c r="D51">
        <v>12</v>
      </c>
      <c r="E51">
        <v>24</v>
      </c>
      <c r="F51">
        <v>0.89705882352941202</v>
      </c>
      <c r="G51">
        <v>0.84137931034482805</v>
      </c>
      <c r="H51">
        <v>421</v>
      </c>
    </row>
    <row r="52" spans="1:8" x14ac:dyDescent="0.3">
      <c r="A52">
        <v>0.76344086021505397</v>
      </c>
      <c r="B52">
        <v>3</v>
      </c>
      <c r="C52">
        <v>0.5</v>
      </c>
      <c r="D52">
        <v>12</v>
      </c>
      <c r="E52">
        <v>27</v>
      </c>
      <c r="F52">
        <v>0.86764705882352899</v>
      </c>
      <c r="G52">
        <v>0.84285714285714297</v>
      </c>
      <c r="H52">
        <v>313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"/>
  <sheetViews>
    <sheetView workbookViewId="0">
      <selection activeCell="C7" sqref="C7"/>
    </sheetView>
  </sheetViews>
  <sheetFormatPr defaultColWidth="11.5546875" defaultRowHeight="14.4" x14ac:dyDescent="0.3"/>
  <cols>
    <col min="2" max="2" width="19.33203125" customWidth="1"/>
  </cols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</row>
    <row r="2" spans="1:7" x14ac:dyDescent="0.3">
      <c r="A2">
        <v>0.53763440860215095</v>
      </c>
      <c r="B2">
        <v>1.25</v>
      </c>
      <c r="C2">
        <v>15</v>
      </c>
      <c r="D2">
        <v>35</v>
      </c>
      <c r="E2">
        <v>0.66176470588235303</v>
      </c>
      <c r="F2">
        <v>0.67669172932330801</v>
      </c>
      <c r="G2">
        <v>319</v>
      </c>
    </row>
    <row r="3" spans="1:7" x14ac:dyDescent="0.3">
      <c r="A3">
        <v>0.55913978494623695</v>
      </c>
      <c r="B3">
        <v>1.5</v>
      </c>
      <c r="C3">
        <v>17</v>
      </c>
      <c r="D3">
        <v>36</v>
      </c>
      <c r="E3">
        <v>0.64705882352941202</v>
      </c>
      <c r="F3">
        <v>0.68217054263565902</v>
      </c>
      <c r="G3">
        <v>865</v>
      </c>
    </row>
    <row r="4" spans="1:7" x14ac:dyDescent="0.3">
      <c r="A4">
        <v>0.58064516129032295</v>
      </c>
      <c r="B4">
        <v>2.25</v>
      </c>
      <c r="C4">
        <v>15</v>
      </c>
      <c r="D4">
        <v>35</v>
      </c>
      <c r="E4">
        <v>0.76470588235294101</v>
      </c>
      <c r="F4">
        <v>0.72727272727272696</v>
      </c>
      <c r="G4">
        <v>468</v>
      </c>
    </row>
    <row r="5" spans="1:7" x14ac:dyDescent="0.3">
      <c r="A5">
        <v>0.60215053763440896</v>
      </c>
      <c r="B5">
        <v>3.25</v>
      </c>
      <c r="C5">
        <v>14</v>
      </c>
      <c r="D5">
        <v>28</v>
      </c>
      <c r="E5">
        <v>0.73529411764705899</v>
      </c>
      <c r="F5">
        <v>0.72992700729926996</v>
      </c>
      <c r="G5">
        <v>417</v>
      </c>
    </row>
    <row r="6" spans="1:7" x14ac:dyDescent="0.3">
      <c r="A6">
        <v>0.60215053763440896</v>
      </c>
      <c r="B6">
        <v>1.5</v>
      </c>
      <c r="C6">
        <v>18</v>
      </c>
      <c r="D6">
        <v>41</v>
      </c>
      <c r="E6">
        <v>0.72058823529411797</v>
      </c>
      <c r="F6">
        <v>0.72592592592592597</v>
      </c>
      <c r="G6">
        <v>594</v>
      </c>
    </row>
    <row r="7" spans="1:7" x14ac:dyDescent="0.3">
      <c r="A7">
        <v>0.61290322580645196</v>
      </c>
      <c r="B7">
        <v>0.25</v>
      </c>
      <c r="C7">
        <v>26</v>
      </c>
      <c r="D7">
        <v>46</v>
      </c>
      <c r="E7">
        <v>0.72058823529411797</v>
      </c>
      <c r="F7">
        <v>0.73134328358209</v>
      </c>
      <c r="G7">
        <v>251</v>
      </c>
    </row>
    <row r="8" spans="1:7" x14ac:dyDescent="0.3">
      <c r="A8">
        <v>0.61290322580645196</v>
      </c>
      <c r="B8">
        <v>2</v>
      </c>
      <c r="C8">
        <v>13</v>
      </c>
      <c r="D8">
        <v>37</v>
      </c>
      <c r="E8">
        <v>0.67647058823529405</v>
      </c>
      <c r="F8">
        <v>0.71875</v>
      </c>
      <c r="G8">
        <v>386</v>
      </c>
    </row>
    <row r="9" spans="1:7" x14ac:dyDescent="0.3">
      <c r="A9">
        <v>0.62365591397849496</v>
      </c>
      <c r="B9">
        <v>2.25</v>
      </c>
      <c r="C9">
        <v>15</v>
      </c>
      <c r="D9">
        <v>26</v>
      </c>
      <c r="E9">
        <v>0.77941176470588203</v>
      </c>
      <c r="F9">
        <v>0.75177304964539005</v>
      </c>
      <c r="G9">
        <v>449</v>
      </c>
    </row>
    <row r="10" spans="1:7" x14ac:dyDescent="0.3">
      <c r="A10">
        <v>0.62365591397849496</v>
      </c>
      <c r="B10">
        <v>0.75</v>
      </c>
      <c r="C10">
        <v>20</v>
      </c>
      <c r="D10">
        <v>35</v>
      </c>
      <c r="E10">
        <v>0.79411764705882304</v>
      </c>
      <c r="F10">
        <v>0.75524475524475498</v>
      </c>
      <c r="G10">
        <v>48</v>
      </c>
    </row>
    <row r="11" spans="1:7" x14ac:dyDescent="0.3">
      <c r="A11">
        <v>0.62365591397849496</v>
      </c>
      <c r="B11">
        <v>1.5</v>
      </c>
      <c r="C11">
        <v>19</v>
      </c>
      <c r="D11">
        <v>42</v>
      </c>
      <c r="E11">
        <v>0.73529411764705899</v>
      </c>
      <c r="F11">
        <v>0.74074074074074103</v>
      </c>
      <c r="G11">
        <v>95</v>
      </c>
    </row>
    <row r="12" spans="1:7" x14ac:dyDescent="0.3">
      <c r="A12">
        <v>0.63440860215053796</v>
      </c>
      <c r="B12">
        <v>1.5</v>
      </c>
      <c r="C12">
        <v>15</v>
      </c>
      <c r="D12">
        <v>38</v>
      </c>
      <c r="E12">
        <v>0.73529411764705899</v>
      </c>
      <c r="F12">
        <v>0.74626865671641796</v>
      </c>
      <c r="G12">
        <v>559</v>
      </c>
    </row>
    <row r="13" spans="1:7" x14ac:dyDescent="0.3">
      <c r="A13">
        <v>0.63440860215053796</v>
      </c>
      <c r="B13">
        <v>0.75</v>
      </c>
      <c r="C13">
        <v>20</v>
      </c>
      <c r="D13">
        <v>42</v>
      </c>
      <c r="E13">
        <v>0.75</v>
      </c>
      <c r="F13">
        <v>0.75</v>
      </c>
      <c r="G13">
        <v>602</v>
      </c>
    </row>
    <row r="14" spans="1:7" x14ac:dyDescent="0.3">
      <c r="A14">
        <v>0.63440860215053796</v>
      </c>
      <c r="B14">
        <v>0.75</v>
      </c>
      <c r="C14">
        <v>19</v>
      </c>
      <c r="D14">
        <v>42</v>
      </c>
      <c r="E14">
        <v>0.70588235294117696</v>
      </c>
      <c r="F14">
        <v>0.73846153846153895</v>
      </c>
      <c r="G14">
        <v>797</v>
      </c>
    </row>
    <row r="15" spans="1:7" x14ac:dyDescent="0.3">
      <c r="A15">
        <v>0.63440860215053796</v>
      </c>
      <c r="B15">
        <v>2.25</v>
      </c>
      <c r="C15">
        <v>12</v>
      </c>
      <c r="D15">
        <v>29</v>
      </c>
      <c r="E15">
        <v>0.76470588235294101</v>
      </c>
      <c r="F15">
        <v>0.75362318840579701</v>
      </c>
      <c r="G15">
        <v>684</v>
      </c>
    </row>
    <row r="16" spans="1:7" x14ac:dyDescent="0.3">
      <c r="A16">
        <v>0.63440860215053796</v>
      </c>
      <c r="B16">
        <v>0.75</v>
      </c>
      <c r="C16">
        <v>13</v>
      </c>
      <c r="D16">
        <v>42</v>
      </c>
      <c r="E16">
        <v>0.75</v>
      </c>
      <c r="F16">
        <v>0.75</v>
      </c>
      <c r="G16">
        <v>450</v>
      </c>
    </row>
    <row r="17" spans="1:7" x14ac:dyDescent="0.3">
      <c r="A17">
        <v>0.64516129032258096</v>
      </c>
      <c r="B17">
        <v>3.75</v>
      </c>
      <c r="C17">
        <v>13</v>
      </c>
      <c r="D17">
        <v>23</v>
      </c>
      <c r="E17">
        <v>0.82352941176470595</v>
      </c>
      <c r="F17">
        <v>0.77241379310344804</v>
      </c>
      <c r="G17">
        <v>485</v>
      </c>
    </row>
    <row r="18" spans="1:7" x14ac:dyDescent="0.3">
      <c r="A18">
        <v>0.64516129032258096</v>
      </c>
      <c r="B18">
        <v>0.25</v>
      </c>
      <c r="C18">
        <v>15</v>
      </c>
      <c r="D18">
        <v>37</v>
      </c>
      <c r="E18">
        <v>0.80882352941176505</v>
      </c>
      <c r="F18">
        <v>0.76923076923076905</v>
      </c>
      <c r="G18">
        <v>62</v>
      </c>
    </row>
    <row r="19" spans="1:7" x14ac:dyDescent="0.3">
      <c r="A19">
        <v>0.64516129032258096</v>
      </c>
      <c r="B19">
        <v>2.25</v>
      </c>
      <c r="C19">
        <v>14</v>
      </c>
      <c r="D19">
        <v>33</v>
      </c>
      <c r="E19">
        <v>0.77941176470588203</v>
      </c>
      <c r="F19">
        <v>0.76258992805755399</v>
      </c>
      <c r="G19">
        <v>546</v>
      </c>
    </row>
    <row r="20" spans="1:7" x14ac:dyDescent="0.3">
      <c r="A20">
        <v>0.64516129032258096</v>
      </c>
      <c r="B20">
        <v>2.25</v>
      </c>
      <c r="C20">
        <v>11</v>
      </c>
      <c r="D20">
        <v>29</v>
      </c>
      <c r="E20">
        <v>0.79411764705882304</v>
      </c>
      <c r="F20">
        <v>0.76595744680851097</v>
      </c>
      <c r="G20">
        <v>40</v>
      </c>
    </row>
    <row r="21" spans="1:7" x14ac:dyDescent="0.3">
      <c r="A21">
        <v>0.65591397849462396</v>
      </c>
      <c r="B21">
        <v>0.75</v>
      </c>
      <c r="C21">
        <v>15</v>
      </c>
      <c r="D21">
        <v>37</v>
      </c>
      <c r="E21">
        <v>0.82352941176470595</v>
      </c>
      <c r="F21">
        <v>0.77777777777777801</v>
      </c>
      <c r="G21">
        <v>549</v>
      </c>
    </row>
    <row r="22" spans="1:7" x14ac:dyDescent="0.3">
      <c r="A22">
        <v>0.65591397849462396</v>
      </c>
      <c r="B22">
        <v>4</v>
      </c>
      <c r="C22">
        <v>13</v>
      </c>
      <c r="D22">
        <v>30</v>
      </c>
      <c r="E22">
        <v>0.75</v>
      </c>
      <c r="F22">
        <v>0.76119402985074602</v>
      </c>
      <c r="G22">
        <v>275</v>
      </c>
    </row>
    <row r="23" spans="1:7" x14ac:dyDescent="0.3">
      <c r="A23">
        <v>0.65591397849462396</v>
      </c>
      <c r="B23">
        <v>2.25</v>
      </c>
      <c r="C23">
        <v>14</v>
      </c>
      <c r="D23">
        <v>38</v>
      </c>
      <c r="E23">
        <v>0.76470588235294101</v>
      </c>
      <c r="F23">
        <v>0.76470588235294101</v>
      </c>
      <c r="G23">
        <v>949</v>
      </c>
    </row>
    <row r="24" spans="1:7" x14ac:dyDescent="0.3">
      <c r="A24">
        <v>0.65591397849462396</v>
      </c>
      <c r="B24">
        <v>0.75</v>
      </c>
      <c r="C24">
        <v>14</v>
      </c>
      <c r="D24">
        <v>36</v>
      </c>
      <c r="E24">
        <v>0.77941176470588203</v>
      </c>
      <c r="F24">
        <v>0.76811594202898603</v>
      </c>
      <c r="G24">
        <v>787</v>
      </c>
    </row>
    <row r="25" spans="1:7" x14ac:dyDescent="0.3">
      <c r="A25">
        <v>0.65591397849462396</v>
      </c>
      <c r="B25">
        <v>2</v>
      </c>
      <c r="C25">
        <v>18</v>
      </c>
      <c r="D25">
        <v>29</v>
      </c>
      <c r="E25">
        <v>0.77941176470588203</v>
      </c>
      <c r="F25">
        <v>0.76811594202898603</v>
      </c>
      <c r="G25">
        <v>233</v>
      </c>
    </row>
    <row r="26" spans="1:7" x14ac:dyDescent="0.3">
      <c r="A26">
        <v>0.65591397849462396</v>
      </c>
      <c r="B26">
        <v>2.25</v>
      </c>
      <c r="C26">
        <v>13</v>
      </c>
      <c r="D26">
        <v>31</v>
      </c>
      <c r="E26">
        <v>0.80882352941176505</v>
      </c>
      <c r="F26">
        <v>0.77464788732394396</v>
      </c>
      <c r="G26">
        <v>355</v>
      </c>
    </row>
    <row r="27" spans="1:7" x14ac:dyDescent="0.3">
      <c r="A27">
        <v>0.65591397849462396</v>
      </c>
      <c r="B27">
        <v>3.75</v>
      </c>
      <c r="C27">
        <v>13</v>
      </c>
      <c r="D27">
        <v>27</v>
      </c>
      <c r="E27">
        <v>0.82352941176470595</v>
      </c>
      <c r="F27">
        <v>0.77777777777777801</v>
      </c>
      <c r="G27">
        <v>475</v>
      </c>
    </row>
    <row r="28" spans="1:7" x14ac:dyDescent="0.3">
      <c r="A28">
        <v>0.66666666666666696</v>
      </c>
      <c r="B28">
        <v>2</v>
      </c>
      <c r="C28">
        <v>13</v>
      </c>
      <c r="D28">
        <v>31</v>
      </c>
      <c r="E28">
        <v>0.75</v>
      </c>
      <c r="F28">
        <v>0.766917293233083</v>
      </c>
      <c r="G28">
        <v>644</v>
      </c>
    </row>
    <row r="29" spans="1:7" x14ac:dyDescent="0.3">
      <c r="A29">
        <v>0.66666666666666696</v>
      </c>
      <c r="B29">
        <v>3.25</v>
      </c>
      <c r="C29">
        <v>15</v>
      </c>
      <c r="D29">
        <v>38</v>
      </c>
      <c r="E29">
        <v>0.79411764705882304</v>
      </c>
      <c r="F29">
        <v>0.77697841726618699</v>
      </c>
      <c r="G29">
        <v>658</v>
      </c>
    </row>
    <row r="30" spans="1:7" x14ac:dyDescent="0.3">
      <c r="A30">
        <v>0.66666666666666696</v>
      </c>
      <c r="B30">
        <v>0.75</v>
      </c>
      <c r="C30">
        <v>22</v>
      </c>
      <c r="D30">
        <v>47</v>
      </c>
      <c r="E30">
        <v>0.77941176470588203</v>
      </c>
      <c r="F30">
        <v>0.773722627737226</v>
      </c>
      <c r="G30">
        <v>313</v>
      </c>
    </row>
    <row r="31" spans="1:7" x14ac:dyDescent="0.3">
      <c r="A31">
        <v>0.66666666666666696</v>
      </c>
      <c r="B31">
        <v>4</v>
      </c>
      <c r="C31">
        <v>12</v>
      </c>
      <c r="D31">
        <v>34</v>
      </c>
      <c r="E31">
        <v>0.85294117647058798</v>
      </c>
      <c r="F31">
        <v>0.78911564625850295</v>
      </c>
      <c r="G31">
        <v>141</v>
      </c>
    </row>
    <row r="32" spans="1:7" x14ac:dyDescent="0.3">
      <c r="A32">
        <v>0.66666666666666696</v>
      </c>
      <c r="B32">
        <v>2</v>
      </c>
      <c r="C32">
        <v>11</v>
      </c>
      <c r="D32">
        <v>33</v>
      </c>
      <c r="E32">
        <v>0.79411764705882304</v>
      </c>
      <c r="F32">
        <v>0.77697841726618699</v>
      </c>
      <c r="G32">
        <v>822</v>
      </c>
    </row>
    <row r="33" spans="1:7" x14ac:dyDescent="0.3">
      <c r="A33">
        <v>0.66666666666666696</v>
      </c>
      <c r="B33">
        <v>3.25</v>
      </c>
      <c r="C33">
        <v>15</v>
      </c>
      <c r="D33">
        <v>32</v>
      </c>
      <c r="E33">
        <v>0.85294117647058798</v>
      </c>
      <c r="F33">
        <v>0.78911564625850295</v>
      </c>
      <c r="G33">
        <v>212</v>
      </c>
    </row>
    <row r="34" spans="1:7" x14ac:dyDescent="0.3">
      <c r="A34">
        <v>0.67741935483870996</v>
      </c>
      <c r="B34">
        <v>0.25</v>
      </c>
      <c r="C34">
        <v>20</v>
      </c>
      <c r="D34">
        <v>38</v>
      </c>
      <c r="E34">
        <v>0.77941176470588203</v>
      </c>
      <c r="F34">
        <v>0.77941176470588203</v>
      </c>
      <c r="G34">
        <v>67</v>
      </c>
    </row>
    <row r="35" spans="1:7" x14ac:dyDescent="0.3">
      <c r="A35">
        <v>0.67741935483870996</v>
      </c>
      <c r="B35">
        <v>0.25</v>
      </c>
      <c r="C35">
        <v>21</v>
      </c>
      <c r="D35">
        <v>42</v>
      </c>
      <c r="E35">
        <v>0.80882352941176505</v>
      </c>
      <c r="F35">
        <v>0.78571428571428603</v>
      </c>
      <c r="G35">
        <v>249</v>
      </c>
    </row>
    <row r="36" spans="1:7" x14ac:dyDescent="0.3">
      <c r="A36">
        <v>0.67741935483870996</v>
      </c>
      <c r="B36">
        <v>2.25</v>
      </c>
      <c r="C36">
        <v>13</v>
      </c>
      <c r="D36">
        <v>34</v>
      </c>
      <c r="E36">
        <v>0.85294117647058798</v>
      </c>
      <c r="F36">
        <v>0.79452054794520499</v>
      </c>
      <c r="G36">
        <v>808</v>
      </c>
    </row>
    <row r="37" spans="1:7" x14ac:dyDescent="0.3">
      <c r="A37">
        <v>0.67741935483870996</v>
      </c>
      <c r="B37">
        <v>0.25</v>
      </c>
      <c r="C37">
        <v>23</v>
      </c>
      <c r="D37">
        <v>46</v>
      </c>
      <c r="E37">
        <v>0.79411764705882304</v>
      </c>
      <c r="F37">
        <v>0.78260869565217395</v>
      </c>
      <c r="G37">
        <v>213</v>
      </c>
    </row>
    <row r="38" spans="1:7" x14ac:dyDescent="0.3">
      <c r="A38">
        <v>0.67741935483870996</v>
      </c>
      <c r="B38">
        <v>3.25</v>
      </c>
      <c r="C38">
        <v>18</v>
      </c>
      <c r="D38">
        <v>29</v>
      </c>
      <c r="E38">
        <v>0.88235294117647101</v>
      </c>
      <c r="F38">
        <v>0.8</v>
      </c>
      <c r="G38">
        <v>82</v>
      </c>
    </row>
    <row r="39" spans="1:7" x14ac:dyDescent="0.3">
      <c r="A39">
        <v>0.68817204301075297</v>
      </c>
      <c r="B39">
        <v>1.5</v>
      </c>
      <c r="C39">
        <v>15</v>
      </c>
      <c r="D39">
        <v>37</v>
      </c>
      <c r="E39">
        <v>0.80882352941176505</v>
      </c>
      <c r="F39">
        <v>0.79136690647482</v>
      </c>
      <c r="G39">
        <v>102</v>
      </c>
    </row>
    <row r="40" spans="1:7" x14ac:dyDescent="0.3">
      <c r="A40">
        <v>0.69892473118279597</v>
      </c>
      <c r="B40">
        <v>2</v>
      </c>
      <c r="C40">
        <v>15</v>
      </c>
      <c r="D40">
        <v>39</v>
      </c>
      <c r="E40">
        <v>0.86764705882352899</v>
      </c>
      <c r="F40">
        <v>0.80821917808219201</v>
      </c>
      <c r="G40">
        <v>553</v>
      </c>
    </row>
    <row r="41" spans="1:7" x14ac:dyDescent="0.3">
      <c r="A41">
        <v>0.69892473118279597</v>
      </c>
      <c r="B41">
        <v>0.25</v>
      </c>
      <c r="C41">
        <v>20</v>
      </c>
      <c r="D41">
        <v>37</v>
      </c>
      <c r="E41">
        <v>0.82352941176470595</v>
      </c>
      <c r="F41">
        <v>0.8</v>
      </c>
      <c r="G41">
        <v>29</v>
      </c>
    </row>
    <row r="42" spans="1:7" x14ac:dyDescent="0.3">
      <c r="A42">
        <v>0.69892473118279597</v>
      </c>
      <c r="B42">
        <v>1.25</v>
      </c>
      <c r="C42">
        <v>22</v>
      </c>
      <c r="D42">
        <v>42</v>
      </c>
      <c r="E42">
        <v>0.88235294117647101</v>
      </c>
      <c r="F42">
        <v>0.81081081081081097</v>
      </c>
      <c r="G42">
        <v>610</v>
      </c>
    </row>
    <row r="43" spans="1:7" x14ac:dyDescent="0.3">
      <c r="A43">
        <v>0.70967741935483897</v>
      </c>
      <c r="B43">
        <v>3.5</v>
      </c>
      <c r="C43">
        <v>17</v>
      </c>
      <c r="D43">
        <v>40</v>
      </c>
      <c r="E43">
        <v>0.86764705882352899</v>
      </c>
      <c r="F43">
        <v>0.81379310344827605</v>
      </c>
      <c r="G43">
        <v>946</v>
      </c>
    </row>
    <row r="44" spans="1:7" x14ac:dyDescent="0.3">
      <c r="A44">
        <v>0.73118279569892497</v>
      </c>
      <c r="B44">
        <v>2.25</v>
      </c>
      <c r="C44">
        <v>17</v>
      </c>
      <c r="D44">
        <v>38</v>
      </c>
      <c r="E44">
        <v>0.88235294117647101</v>
      </c>
      <c r="F44">
        <v>0.82758620689655205</v>
      </c>
      <c r="G44">
        <v>908</v>
      </c>
    </row>
    <row r="45" spans="1:7" x14ac:dyDescent="0.3">
      <c r="A45">
        <v>0.73118279569892497</v>
      </c>
      <c r="B45">
        <v>2</v>
      </c>
      <c r="C45">
        <v>13</v>
      </c>
      <c r="D45">
        <v>32</v>
      </c>
      <c r="E45">
        <v>0.91176470588235303</v>
      </c>
      <c r="F45">
        <v>0.83221476510067105</v>
      </c>
      <c r="G45">
        <v>747</v>
      </c>
    </row>
    <row r="46" spans="1:7" x14ac:dyDescent="0.3">
      <c r="A46">
        <v>0.74193548387096797</v>
      </c>
      <c r="B46">
        <v>2</v>
      </c>
      <c r="C46">
        <v>15</v>
      </c>
      <c r="D46">
        <v>42</v>
      </c>
      <c r="E46">
        <v>0.80882352941176505</v>
      </c>
      <c r="F46">
        <v>0.82089552238805996</v>
      </c>
      <c r="G46">
        <v>297</v>
      </c>
    </row>
    <row r="47" spans="1:7" x14ac:dyDescent="0.3">
      <c r="A47">
        <v>0.74193548387096797</v>
      </c>
      <c r="B47">
        <v>3.25</v>
      </c>
      <c r="C47">
        <v>19</v>
      </c>
      <c r="D47">
        <v>47</v>
      </c>
      <c r="E47">
        <v>0.82352941176470595</v>
      </c>
      <c r="F47">
        <v>0.82352941176470595</v>
      </c>
      <c r="G47">
        <v>26</v>
      </c>
    </row>
    <row r="48" spans="1:7" x14ac:dyDescent="0.3">
      <c r="A48">
        <v>0.74193548387096797</v>
      </c>
      <c r="B48">
        <v>3.5</v>
      </c>
      <c r="C48">
        <v>14</v>
      </c>
      <c r="D48">
        <v>32</v>
      </c>
      <c r="E48">
        <v>0.85294117647058798</v>
      </c>
      <c r="F48">
        <v>0.82857142857142896</v>
      </c>
      <c r="G48">
        <v>612</v>
      </c>
    </row>
    <row r="49" spans="1:7" x14ac:dyDescent="0.3">
      <c r="A49">
        <v>0.75268817204301097</v>
      </c>
      <c r="B49">
        <v>0.5</v>
      </c>
      <c r="C49">
        <v>14</v>
      </c>
      <c r="D49">
        <v>40</v>
      </c>
      <c r="E49">
        <v>0.89705882352941202</v>
      </c>
      <c r="F49">
        <v>0.84137931034482805</v>
      </c>
      <c r="G49">
        <v>697</v>
      </c>
    </row>
    <row r="50" spans="1:7" x14ac:dyDescent="0.3">
      <c r="A50">
        <v>0.75268817204301097</v>
      </c>
      <c r="B50">
        <v>1.5</v>
      </c>
      <c r="C50">
        <v>19</v>
      </c>
      <c r="D50">
        <v>34</v>
      </c>
      <c r="E50">
        <v>0.92647058823529405</v>
      </c>
      <c r="F50">
        <v>0.84563758389261701</v>
      </c>
      <c r="G50">
        <v>5</v>
      </c>
    </row>
    <row r="51" spans="1:7" x14ac:dyDescent="0.3">
      <c r="A51">
        <v>0.76344086021505397</v>
      </c>
      <c r="B51">
        <v>0.25</v>
      </c>
      <c r="C51">
        <v>14</v>
      </c>
      <c r="D51">
        <v>36</v>
      </c>
      <c r="E51">
        <v>0.92647058823529405</v>
      </c>
      <c r="F51">
        <v>0.85135135135135098</v>
      </c>
      <c r="G51">
        <v>421</v>
      </c>
    </row>
    <row r="52" spans="1:7" x14ac:dyDescent="0.3">
      <c r="A52">
        <v>0.79569892473118298</v>
      </c>
      <c r="B52">
        <v>2.25</v>
      </c>
      <c r="C52">
        <v>11</v>
      </c>
      <c r="D52">
        <v>30</v>
      </c>
      <c r="E52">
        <v>0.95588235294117696</v>
      </c>
      <c r="F52">
        <v>0.87248322147651003</v>
      </c>
      <c r="G52">
        <v>173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2"/>
  <sheetViews>
    <sheetView workbookViewId="0">
      <selection activeCell="D30" sqref="D30"/>
    </sheetView>
  </sheetViews>
  <sheetFormatPr defaultColWidth="11.5546875" defaultRowHeight="14.4" x14ac:dyDescent="0.3"/>
  <cols>
    <col min="2" max="3" width="23.5546875" customWidth="1"/>
  </cols>
  <sheetData>
    <row r="1" spans="1:8" x14ac:dyDescent="0.3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</v>
      </c>
      <c r="G1" t="s">
        <v>4</v>
      </c>
      <c r="H1" t="s">
        <v>8</v>
      </c>
    </row>
    <row r="2" spans="1:8" x14ac:dyDescent="0.3">
      <c r="A2">
        <v>0.60215053763440896</v>
      </c>
      <c r="B2">
        <v>3.75</v>
      </c>
      <c r="C2">
        <v>3.5</v>
      </c>
      <c r="D2">
        <v>16</v>
      </c>
      <c r="E2">
        <v>39</v>
      </c>
      <c r="F2">
        <v>0.70588235294117696</v>
      </c>
      <c r="G2">
        <v>0.721804511278195</v>
      </c>
      <c r="H2">
        <v>594</v>
      </c>
    </row>
    <row r="3" spans="1:8" x14ac:dyDescent="0.3">
      <c r="A3">
        <v>0.62365591397849496</v>
      </c>
      <c r="B3">
        <v>2.25</v>
      </c>
      <c r="C3">
        <v>0.5</v>
      </c>
      <c r="D3">
        <v>21</v>
      </c>
      <c r="E3">
        <v>43</v>
      </c>
      <c r="F3">
        <v>0.73529411764705899</v>
      </c>
      <c r="G3">
        <v>0.74074074074074103</v>
      </c>
      <c r="H3">
        <v>95</v>
      </c>
    </row>
    <row r="4" spans="1:8" x14ac:dyDescent="0.3">
      <c r="A4">
        <v>0.63440860215053796</v>
      </c>
      <c r="B4">
        <v>1.25</v>
      </c>
      <c r="C4">
        <v>0.5</v>
      </c>
      <c r="D4">
        <v>19</v>
      </c>
      <c r="E4">
        <v>31</v>
      </c>
      <c r="F4">
        <v>0.79411764705882304</v>
      </c>
      <c r="G4">
        <v>0.76056338028169002</v>
      </c>
      <c r="H4">
        <v>48</v>
      </c>
    </row>
    <row r="5" spans="1:8" x14ac:dyDescent="0.3">
      <c r="A5">
        <v>0.63440860215053796</v>
      </c>
      <c r="B5">
        <v>3.75</v>
      </c>
      <c r="C5">
        <v>3.25</v>
      </c>
      <c r="D5">
        <v>22</v>
      </c>
      <c r="E5">
        <v>36</v>
      </c>
      <c r="F5">
        <v>0.75</v>
      </c>
      <c r="G5">
        <v>0.75</v>
      </c>
      <c r="H5">
        <v>319</v>
      </c>
    </row>
    <row r="6" spans="1:8" x14ac:dyDescent="0.3">
      <c r="A6">
        <v>0.63440860215053796</v>
      </c>
      <c r="B6">
        <v>1.25</v>
      </c>
      <c r="C6">
        <v>0.5</v>
      </c>
      <c r="D6">
        <v>19</v>
      </c>
      <c r="E6">
        <v>45</v>
      </c>
      <c r="F6">
        <v>0.77941176470588203</v>
      </c>
      <c r="G6">
        <v>0.75714285714285701</v>
      </c>
      <c r="H6">
        <v>485</v>
      </c>
    </row>
    <row r="7" spans="1:8" x14ac:dyDescent="0.3">
      <c r="A7">
        <v>0.64516129032258096</v>
      </c>
      <c r="B7">
        <v>3.75</v>
      </c>
      <c r="C7">
        <v>3.5</v>
      </c>
      <c r="D7">
        <v>22</v>
      </c>
      <c r="E7">
        <v>38</v>
      </c>
      <c r="F7">
        <v>0.76470588235294101</v>
      </c>
      <c r="G7">
        <v>0.75912408759124095</v>
      </c>
      <c r="H7">
        <v>644</v>
      </c>
    </row>
    <row r="8" spans="1:8" x14ac:dyDescent="0.3">
      <c r="A8">
        <v>0.64516129032258096</v>
      </c>
      <c r="B8">
        <v>0.75</v>
      </c>
      <c r="C8">
        <v>0.25</v>
      </c>
      <c r="D8">
        <v>20</v>
      </c>
      <c r="E8">
        <v>39</v>
      </c>
      <c r="F8">
        <v>0.79411764705882304</v>
      </c>
      <c r="G8">
        <v>0.76595744680851097</v>
      </c>
      <c r="H8">
        <v>249</v>
      </c>
    </row>
    <row r="9" spans="1:8" x14ac:dyDescent="0.3">
      <c r="A9">
        <v>0.64516129032258096</v>
      </c>
      <c r="B9">
        <v>1.25</v>
      </c>
      <c r="C9">
        <v>0.5</v>
      </c>
      <c r="D9">
        <v>16</v>
      </c>
      <c r="E9">
        <v>38</v>
      </c>
      <c r="F9">
        <v>0.85294117647058798</v>
      </c>
      <c r="G9">
        <v>0.778523489932886</v>
      </c>
      <c r="H9">
        <v>808</v>
      </c>
    </row>
    <row r="10" spans="1:8" x14ac:dyDescent="0.3">
      <c r="A10">
        <v>0.64516129032258096</v>
      </c>
      <c r="B10">
        <v>0.5</v>
      </c>
      <c r="C10">
        <v>0.25</v>
      </c>
      <c r="D10">
        <v>20</v>
      </c>
      <c r="E10">
        <v>43</v>
      </c>
      <c r="F10">
        <v>0.79411764705882304</v>
      </c>
      <c r="G10">
        <v>0.76595744680851097</v>
      </c>
      <c r="H10">
        <v>29</v>
      </c>
    </row>
    <row r="11" spans="1:8" x14ac:dyDescent="0.3">
      <c r="A11">
        <v>0.64516129032258096</v>
      </c>
      <c r="B11">
        <v>0.75</v>
      </c>
      <c r="C11">
        <v>0.5</v>
      </c>
      <c r="D11">
        <v>15</v>
      </c>
      <c r="E11">
        <v>37</v>
      </c>
      <c r="F11">
        <v>0.80882352941176505</v>
      </c>
      <c r="G11">
        <v>0.76923076923076905</v>
      </c>
      <c r="H11">
        <v>62</v>
      </c>
    </row>
    <row r="12" spans="1:8" x14ac:dyDescent="0.3">
      <c r="A12">
        <v>0.65591397849462396</v>
      </c>
      <c r="B12">
        <v>3.75</v>
      </c>
      <c r="C12">
        <v>3.5</v>
      </c>
      <c r="D12">
        <v>18</v>
      </c>
      <c r="E12">
        <v>42</v>
      </c>
      <c r="F12">
        <v>0.82352941176470595</v>
      </c>
      <c r="G12">
        <v>0.77777777777777801</v>
      </c>
      <c r="H12">
        <v>946</v>
      </c>
    </row>
    <row r="13" spans="1:8" x14ac:dyDescent="0.3">
      <c r="A13">
        <v>0.65591397849462396</v>
      </c>
      <c r="B13">
        <v>4</v>
      </c>
      <c r="C13">
        <v>0.25</v>
      </c>
      <c r="D13">
        <v>16</v>
      </c>
      <c r="E13">
        <v>38</v>
      </c>
      <c r="F13">
        <v>0.82352941176470595</v>
      </c>
      <c r="G13">
        <v>0.77777777777777801</v>
      </c>
      <c r="H13">
        <v>549</v>
      </c>
    </row>
    <row r="14" spans="1:8" x14ac:dyDescent="0.3">
      <c r="A14">
        <v>0.65591397849462396</v>
      </c>
      <c r="B14">
        <v>4</v>
      </c>
      <c r="C14">
        <v>3.75</v>
      </c>
      <c r="D14">
        <v>16</v>
      </c>
      <c r="E14">
        <v>34</v>
      </c>
      <c r="F14">
        <v>0.82352941176470595</v>
      </c>
      <c r="G14">
        <v>0.77777777777777801</v>
      </c>
      <c r="H14">
        <v>865</v>
      </c>
    </row>
    <row r="15" spans="1:8" x14ac:dyDescent="0.3">
      <c r="A15">
        <v>0.65591397849462396</v>
      </c>
      <c r="B15">
        <v>4</v>
      </c>
      <c r="C15">
        <v>3.75</v>
      </c>
      <c r="D15">
        <v>21</v>
      </c>
      <c r="E15">
        <v>34</v>
      </c>
      <c r="F15">
        <v>0.79411764705882304</v>
      </c>
      <c r="G15">
        <v>0.77142857142857102</v>
      </c>
      <c r="H15">
        <v>417</v>
      </c>
    </row>
    <row r="16" spans="1:8" x14ac:dyDescent="0.3">
      <c r="A16">
        <v>0.65591397849462396</v>
      </c>
      <c r="B16">
        <v>2</v>
      </c>
      <c r="C16">
        <v>1.25</v>
      </c>
      <c r="D16">
        <v>13</v>
      </c>
      <c r="E16">
        <v>38</v>
      </c>
      <c r="F16">
        <v>0.75</v>
      </c>
      <c r="G16">
        <v>0.76119402985074602</v>
      </c>
      <c r="H16">
        <v>386</v>
      </c>
    </row>
    <row r="17" spans="1:8" x14ac:dyDescent="0.3">
      <c r="A17">
        <v>0.65591397849462396</v>
      </c>
      <c r="B17">
        <v>1.25</v>
      </c>
      <c r="C17">
        <v>0.25</v>
      </c>
      <c r="D17">
        <v>14</v>
      </c>
      <c r="E17">
        <v>37</v>
      </c>
      <c r="F17">
        <v>0.77941176470588203</v>
      </c>
      <c r="G17">
        <v>0.76811594202898603</v>
      </c>
      <c r="H17">
        <v>684</v>
      </c>
    </row>
    <row r="18" spans="1:8" x14ac:dyDescent="0.3">
      <c r="A18">
        <v>0.65591397849462396</v>
      </c>
      <c r="B18">
        <v>2</v>
      </c>
      <c r="C18">
        <v>0.25</v>
      </c>
      <c r="D18">
        <v>13</v>
      </c>
      <c r="E18">
        <v>43</v>
      </c>
      <c r="F18">
        <v>0.77941176470588203</v>
      </c>
      <c r="G18">
        <v>0.76811594202898603</v>
      </c>
      <c r="H18">
        <v>450</v>
      </c>
    </row>
    <row r="19" spans="1:8" x14ac:dyDescent="0.3">
      <c r="A19">
        <v>0.65591397849462396</v>
      </c>
      <c r="B19">
        <v>4</v>
      </c>
      <c r="C19">
        <v>3.75</v>
      </c>
      <c r="D19">
        <v>23</v>
      </c>
      <c r="E19">
        <v>42</v>
      </c>
      <c r="F19">
        <v>0.79411764705882304</v>
      </c>
      <c r="G19">
        <v>0.77142857142857102</v>
      </c>
      <c r="H19">
        <v>233</v>
      </c>
    </row>
    <row r="20" spans="1:8" x14ac:dyDescent="0.3">
      <c r="A20">
        <v>0.66666666666666696</v>
      </c>
      <c r="B20">
        <v>0.5</v>
      </c>
      <c r="C20">
        <v>0.25</v>
      </c>
      <c r="D20">
        <v>19</v>
      </c>
      <c r="E20">
        <v>46</v>
      </c>
      <c r="F20">
        <v>0.83823529411764697</v>
      </c>
      <c r="G20">
        <v>0.78620689655172404</v>
      </c>
      <c r="H20">
        <v>559</v>
      </c>
    </row>
    <row r="21" spans="1:8" x14ac:dyDescent="0.3">
      <c r="A21">
        <v>0.66666666666666696</v>
      </c>
      <c r="B21">
        <v>4</v>
      </c>
      <c r="C21">
        <v>3.5</v>
      </c>
      <c r="D21">
        <v>17</v>
      </c>
      <c r="E21">
        <v>30</v>
      </c>
      <c r="F21">
        <v>0.77941176470588203</v>
      </c>
      <c r="G21">
        <v>0.773722627737226</v>
      </c>
      <c r="H21">
        <v>602</v>
      </c>
    </row>
    <row r="22" spans="1:8" x14ac:dyDescent="0.3">
      <c r="A22">
        <v>0.66666666666666696</v>
      </c>
      <c r="B22">
        <v>0.5</v>
      </c>
      <c r="C22">
        <v>0.25</v>
      </c>
      <c r="D22">
        <v>18</v>
      </c>
      <c r="E22">
        <v>48</v>
      </c>
      <c r="F22">
        <v>0.80882352941176505</v>
      </c>
      <c r="G22">
        <v>0.780141843971631</v>
      </c>
      <c r="H22">
        <v>475</v>
      </c>
    </row>
    <row r="23" spans="1:8" x14ac:dyDescent="0.3">
      <c r="A23">
        <v>0.67741935483870996</v>
      </c>
      <c r="B23">
        <v>0.5</v>
      </c>
      <c r="C23">
        <v>0.25</v>
      </c>
      <c r="D23">
        <v>21</v>
      </c>
      <c r="E23">
        <v>44</v>
      </c>
      <c r="F23">
        <v>0.79411764705882304</v>
      </c>
      <c r="G23">
        <v>0.78260869565217395</v>
      </c>
      <c r="H23">
        <v>251</v>
      </c>
    </row>
    <row r="24" spans="1:8" x14ac:dyDescent="0.3">
      <c r="A24">
        <v>0.67741935483870996</v>
      </c>
      <c r="B24">
        <v>4</v>
      </c>
      <c r="C24">
        <v>3.5</v>
      </c>
      <c r="D24">
        <v>17</v>
      </c>
      <c r="E24">
        <v>40</v>
      </c>
      <c r="F24">
        <v>0.82352941176470595</v>
      </c>
      <c r="G24">
        <v>0.78873239436619702</v>
      </c>
      <c r="H24">
        <v>949</v>
      </c>
    </row>
    <row r="25" spans="1:8" x14ac:dyDescent="0.3">
      <c r="A25">
        <v>0.67741935483870996</v>
      </c>
      <c r="B25">
        <v>0.5</v>
      </c>
      <c r="C25">
        <v>0.25</v>
      </c>
      <c r="D25">
        <v>15</v>
      </c>
      <c r="E25">
        <v>40</v>
      </c>
      <c r="F25">
        <v>0.79411764705882304</v>
      </c>
      <c r="G25">
        <v>0.78260869565217395</v>
      </c>
      <c r="H25">
        <v>449</v>
      </c>
    </row>
    <row r="26" spans="1:8" x14ac:dyDescent="0.3">
      <c r="A26">
        <v>0.67741935483870996</v>
      </c>
      <c r="B26">
        <v>3.75</v>
      </c>
      <c r="C26">
        <v>3.5</v>
      </c>
      <c r="D26">
        <v>16</v>
      </c>
      <c r="E26">
        <v>31</v>
      </c>
      <c r="F26">
        <v>0.79411764705882304</v>
      </c>
      <c r="G26">
        <v>0.78260869565217395</v>
      </c>
      <c r="H26">
        <v>67</v>
      </c>
    </row>
    <row r="27" spans="1:8" x14ac:dyDescent="0.3">
      <c r="A27">
        <v>0.67741935483870996</v>
      </c>
      <c r="B27">
        <v>3.75</v>
      </c>
      <c r="C27">
        <v>1.25</v>
      </c>
      <c r="D27">
        <v>15</v>
      </c>
      <c r="E27">
        <v>38</v>
      </c>
      <c r="F27">
        <v>0.79411764705882304</v>
      </c>
      <c r="G27">
        <v>0.78260869565217395</v>
      </c>
      <c r="H27">
        <v>102</v>
      </c>
    </row>
    <row r="28" spans="1:8" x14ac:dyDescent="0.3">
      <c r="A28">
        <v>0.67741935483870996</v>
      </c>
      <c r="B28">
        <v>1.5</v>
      </c>
      <c r="C28">
        <v>0.75</v>
      </c>
      <c r="D28">
        <v>22</v>
      </c>
      <c r="E28">
        <v>43</v>
      </c>
      <c r="F28">
        <v>0.76470588235294101</v>
      </c>
      <c r="G28">
        <v>0.77611940298507498</v>
      </c>
      <c r="H28">
        <v>213</v>
      </c>
    </row>
    <row r="29" spans="1:8" x14ac:dyDescent="0.3">
      <c r="A29">
        <v>0.67741935483870996</v>
      </c>
      <c r="B29">
        <v>3.25</v>
      </c>
      <c r="C29">
        <v>3</v>
      </c>
      <c r="D29">
        <v>24</v>
      </c>
      <c r="E29">
        <v>42</v>
      </c>
      <c r="F29">
        <v>0.86764705882352899</v>
      </c>
      <c r="G29">
        <v>0.79729729729729704</v>
      </c>
      <c r="H29">
        <v>610</v>
      </c>
    </row>
    <row r="30" spans="1:8" x14ac:dyDescent="0.3">
      <c r="A30">
        <v>0.68817204301075297</v>
      </c>
      <c r="B30">
        <v>0.5</v>
      </c>
      <c r="C30">
        <v>0.25</v>
      </c>
      <c r="D30">
        <v>20</v>
      </c>
      <c r="E30">
        <v>47</v>
      </c>
      <c r="F30">
        <v>0.85294117647058798</v>
      </c>
      <c r="G30">
        <v>0.8</v>
      </c>
      <c r="H30">
        <v>658</v>
      </c>
    </row>
    <row r="31" spans="1:8" x14ac:dyDescent="0.3">
      <c r="A31">
        <v>0.68817204301075297</v>
      </c>
      <c r="B31">
        <v>0.5</v>
      </c>
      <c r="C31">
        <v>0.25</v>
      </c>
      <c r="D31">
        <v>20</v>
      </c>
      <c r="E31">
        <v>49</v>
      </c>
      <c r="F31">
        <v>0.83823529411764697</v>
      </c>
      <c r="G31">
        <v>0.79720279720279696</v>
      </c>
      <c r="H31">
        <v>787</v>
      </c>
    </row>
    <row r="32" spans="1:8" x14ac:dyDescent="0.3">
      <c r="A32">
        <v>0.68817204301075297</v>
      </c>
      <c r="B32">
        <v>0.5</v>
      </c>
      <c r="C32">
        <v>0.25</v>
      </c>
      <c r="D32">
        <v>17</v>
      </c>
      <c r="E32">
        <v>48</v>
      </c>
      <c r="F32">
        <v>0.80882352941176505</v>
      </c>
      <c r="G32">
        <v>0.79136690647482</v>
      </c>
      <c r="H32">
        <v>468</v>
      </c>
    </row>
    <row r="33" spans="1:8" x14ac:dyDescent="0.3">
      <c r="A33">
        <v>0.68817204301075297</v>
      </c>
      <c r="B33">
        <v>1.25</v>
      </c>
      <c r="C33">
        <v>0.75</v>
      </c>
      <c r="D33">
        <v>15</v>
      </c>
      <c r="E33">
        <v>34</v>
      </c>
      <c r="F33">
        <v>0.80882352941176505</v>
      </c>
      <c r="G33">
        <v>0.79136690647482</v>
      </c>
      <c r="H33">
        <v>355</v>
      </c>
    </row>
    <row r="34" spans="1:8" x14ac:dyDescent="0.3">
      <c r="A34">
        <v>0.68817204301075297</v>
      </c>
      <c r="B34">
        <v>0.5</v>
      </c>
      <c r="C34">
        <v>0.25</v>
      </c>
      <c r="D34">
        <v>22</v>
      </c>
      <c r="E34">
        <v>35</v>
      </c>
      <c r="F34">
        <v>0.89705882352941202</v>
      </c>
      <c r="G34">
        <v>0.80794701986755002</v>
      </c>
      <c r="H34">
        <v>82</v>
      </c>
    </row>
    <row r="35" spans="1:8" x14ac:dyDescent="0.3">
      <c r="A35">
        <v>0.69892473118279597</v>
      </c>
      <c r="B35">
        <v>0.5</v>
      </c>
      <c r="C35">
        <v>0.25</v>
      </c>
      <c r="D35">
        <v>20</v>
      </c>
      <c r="E35">
        <v>38</v>
      </c>
      <c r="F35">
        <v>0.77941176470588203</v>
      </c>
      <c r="G35">
        <v>0.79104477611940305</v>
      </c>
      <c r="H35">
        <v>797</v>
      </c>
    </row>
    <row r="36" spans="1:8" x14ac:dyDescent="0.3">
      <c r="A36">
        <v>0.69892473118279597</v>
      </c>
      <c r="B36">
        <v>4</v>
      </c>
      <c r="C36">
        <v>3.75</v>
      </c>
      <c r="D36">
        <v>15</v>
      </c>
      <c r="E36">
        <v>42</v>
      </c>
      <c r="F36">
        <v>0.83823529411764697</v>
      </c>
      <c r="G36">
        <v>0.80281690140845097</v>
      </c>
      <c r="H36">
        <v>141</v>
      </c>
    </row>
    <row r="37" spans="1:8" x14ac:dyDescent="0.3">
      <c r="A37">
        <v>0.69892473118279597</v>
      </c>
      <c r="B37">
        <v>4</v>
      </c>
      <c r="C37">
        <v>3.5</v>
      </c>
      <c r="D37">
        <v>15</v>
      </c>
      <c r="E37">
        <v>34</v>
      </c>
      <c r="F37">
        <v>0.80882352941176505</v>
      </c>
      <c r="G37">
        <v>0.79710144927536197</v>
      </c>
      <c r="H37">
        <v>822</v>
      </c>
    </row>
    <row r="38" spans="1:8" x14ac:dyDescent="0.3">
      <c r="A38">
        <v>0.70967741935483897</v>
      </c>
      <c r="B38">
        <v>4</v>
      </c>
      <c r="C38">
        <v>3.5</v>
      </c>
      <c r="D38">
        <v>23</v>
      </c>
      <c r="E38">
        <v>36</v>
      </c>
      <c r="F38">
        <v>0.86764705882352899</v>
      </c>
      <c r="G38">
        <v>0.81379310344827605</v>
      </c>
      <c r="H38">
        <v>553</v>
      </c>
    </row>
    <row r="39" spans="1:8" x14ac:dyDescent="0.3">
      <c r="A39">
        <v>0.70967741935483897</v>
      </c>
      <c r="B39">
        <v>4</v>
      </c>
      <c r="C39">
        <v>3.75</v>
      </c>
      <c r="D39">
        <v>21</v>
      </c>
      <c r="E39">
        <v>38</v>
      </c>
      <c r="F39">
        <v>0.86764705882352899</v>
      </c>
      <c r="G39">
        <v>0.81379310344827605</v>
      </c>
      <c r="H39">
        <v>747</v>
      </c>
    </row>
    <row r="40" spans="1:8" x14ac:dyDescent="0.3">
      <c r="A40">
        <v>0.70967741935483897</v>
      </c>
      <c r="B40">
        <v>4</v>
      </c>
      <c r="C40">
        <v>3.75</v>
      </c>
      <c r="D40">
        <v>18</v>
      </c>
      <c r="E40">
        <v>42</v>
      </c>
      <c r="F40">
        <v>0.86764705882352899</v>
      </c>
      <c r="G40">
        <v>0.81379310344827605</v>
      </c>
      <c r="H40">
        <v>212</v>
      </c>
    </row>
    <row r="41" spans="1:8" x14ac:dyDescent="0.3">
      <c r="A41">
        <v>0.72043010752688197</v>
      </c>
      <c r="B41">
        <v>4</v>
      </c>
      <c r="C41">
        <v>3.75</v>
      </c>
      <c r="D41">
        <v>18</v>
      </c>
      <c r="E41">
        <v>48</v>
      </c>
      <c r="F41">
        <v>0.79411764705882304</v>
      </c>
      <c r="G41">
        <v>0.80597014925373101</v>
      </c>
      <c r="H41">
        <v>297</v>
      </c>
    </row>
    <row r="42" spans="1:8" x14ac:dyDescent="0.3">
      <c r="A42">
        <v>0.72043010752688197</v>
      </c>
      <c r="B42">
        <v>0.5</v>
      </c>
      <c r="C42">
        <v>0.25</v>
      </c>
      <c r="D42">
        <v>20</v>
      </c>
      <c r="E42">
        <v>40</v>
      </c>
      <c r="F42">
        <v>0.88235294117647101</v>
      </c>
      <c r="G42">
        <v>0.82191780821917804</v>
      </c>
      <c r="H42">
        <v>313</v>
      </c>
    </row>
    <row r="43" spans="1:8" x14ac:dyDescent="0.3">
      <c r="A43">
        <v>0.72043010752688197</v>
      </c>
      <c r="B43">
        <v>4</v>
      </c>
      <c r="C43">
        <v>3.75</v>
      </c>
      <c r="D43">
        <v>20</v>
      </c>
      <c r="E43">
        <v>44</v>
      </c>
      <c r="F43">
        <v>0.86764705882352899</v>
      </c>
      <c r="G43">
        <v>0.81944444444444398</v>
      </c>
      <c r="H43">
        <v>26</v>
      </c>
    </row>
    <row r="44" spans="1:8" x14ac:dyDescent="0.3">
      <c r="A44">
        <v>0.72043010752688197</v>
      </c>
      <c r="B44">
        <v>4</v>
      </c>
      <c r="C44">
        <v>3.75</v>
      </c>
      <c r="D44">
        <v>15</v>
      </c>
      <c r="E44">
        <v>47</v>
      </c>
      <c r="F44">
        <v>0.80882352941176505</v>
      </c>
      <c r="G44">
        <v>0.80882352941176505</v>
      </c>
      <c r="H44">
        <v>908</v>
      </c>
    </row>
    <row r="45" spans="1:8" x14ac:dyDescent="0.3">
      <c r="A45">
        <v>0.72043010752688197</v>
      </c>
      <c r="B45">
        <v>0.5</v>
      </c>
      <c r="C45">
        <v>0.25</v>
      </c>
      <c r="D45">
        <v>20</v>
      </c>
      <c r="E45">
        <v>43</v>
      </c>
      <c r="F45">
        <v>0.83823529411764697</v>
      </c>
      <c r="G45">
        <v>0.81428571428571395</v>
      </c>
      <c r="H45">
        <v>40</v>
      </c>
    </row>
    <row r="46" spans="1:8" x14ac:dyDescent="0.3">
      <c r="A46">
        <v>0.73118279569892497</v>
      </c>
      <c r="B46">
        <v>4</v>
      </c>
      <c r="C46">
        <v>3.25</v>
      </c>
      <c r="D46">
        <v>18</v>
      </c>
      <c r="E46">
        <v>34</v>
      </c>
      <c r="F46">
        <v>0.88235294117647101</v>
      </c>
      <c r="G46">
        <v>0.82758620689655205</v>
      </c>
      <c r="H46">
        <v>173</v>
      </c>
    </row>
    <row r="47" spans="1:8" x14ac:dyDescent="0.3">
      <c r="A47">
        <v>0.74193548387096797</v>
      </c>
      <c r="B47">
        <v>4</v>
      </c>
      <c r="C47">
        <v>3.5</v>
      </c>
      <c r="D47">
        <v>21</v>
      </c>
      <c r="E47">
        <v>26</v>
      </c>
      <c r="F47">
        <v>0.88235294117647101</v>
      </c>
      <c r="G47">
        <v>0.83333333333333304</v>
      </c>
      <c r="H47">
        <v>612</v>
      </c>
    </row>
    <row r="48" spans="1:8" x14ac:dyDescent="0.3">
      <c r="A48">
        <v>0.74193548387096797</v>
      </c>
      <c r="B48">
        <v>4</v>
      </c>
      <c r="C48">
        <v>3</v>
      </c>
      <c r="D48">
        <v>17</v>
      </c>
      <c r="E48">
        <v>33</v>
      </c>
      <c r="F48">
        <v>0.85294117647058798</v>
      </c>
      <c r="G48">
        <v>0.82857142857142896</v>
      </c>
      <c r="H48">
        <v>546</v>
      </c>
    </row>
    <row r="49" spans="1:8" x14ac:dyDescent="0.3">
      <c r="A49">
        <v>0.75268817204301097</v>
      </c>
      <c r="B49">
        <v>4</v>
      </c>
      <c r="C49">
        <v>3.5</v>
      </c>
      <c r="D49">
        <v>19</v>
      </c>
      <c r="E49">
        <v>30</v>
      </c>
      <c r="F49">
        <v>0.85294117647058798</v>
      </c>
      <c r="G49">
        <v>0.83453237410071901</v>
      </c>
      <c r="H49">
        <v>275</v>
      </c>
    </row>
    <row r="50" spans="1:8" x14ac:dyDescent="0.3">
      <c r="A50">
        <v>0.75268817204301097</v>
      </c>
      <c r="B50">
        <v>2.5</v>
      </c>
      <c r="C50">
        <v>0.25</v>
      </c>
      <c r="D50">
        <v>17</v>
      </c>
      <c r="E50">
        <v>42</v>
      </c>
      <c r="F50">
        <v>0.89705882352941202</v>
      </c>
      <c r="G50">
        <v>0.84137931034482805</v>
      </c>
      <c r="H50">
        <v>697</v>
      </c>
    </row>
    <row r="51" spans="1:8" x14ac:dyDescent="0.3">
      <c r="A51">
        <v>0.75268817204301097</v>
      </c>
      <c r="B51">
        <v>3.75</v>
      </c>
      <c r="C51">
        <v>0.75</v>
      </c>
      <c r="D51">
        <v>19</v>
      </c>
      <c r="E51">
        <v>35</v>
      </c>
      <c r="F51">
        <v>0.92647058823529405</v>
      </c>
      <c r="G51">
        <v>0.84563758389261701</v>
      </c>
      <c r="H51">
        <v>5</v>
      </c>
    </row>
    <row r="52" spans="1:8" x14ac:dyDescent="0.3">
      <c r="A52">
        <v>0.78494623655913998</v>
      </c>
      <c r="B52">
        <v>3.75</v>
      </c>
      <c r="C52">
        <v>1.25</v>
      </c>
      <c r="D52">
        <v>15</v>
      </c>
      <c r="E52">
        <v>40</v>
      </c>
      <c r="F52">
        <v>0.92647058823529405</v>
      </c>
      <c r="G52">
        <v>0.86301369863013699</v>
      </c>
      <c r="H52">
        <v>421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2"/>
  <sheetViews>
    <sheetView workbookViewId="0">
      <selection activeCell="B3" sqref="B3"/>
    </sheetView>
  </sheetViews>
  <sheetFormatPr defaultColWidth="11.5546875" defaultRowHeight="14.4" x14ac:dyDescent="0.3"/>
  <cols>
    <col min="2" max="3" width="23.5546875" customWidth="1"/>
  </cols>
  <sheetData>
    <row r="1" spans="1:8" x14ac:dyDescent="0.3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</v>
      </c>
      <c r="G1" t="s">
        <v>4</v>
      </c>
      <c r="H1" t="s">
        <v>8</v>
      </c>
    </row>
    <row r="2" spans="1:8" x14ac:dyDescent="0.3">
      <c r="A2">
        <v>0.53763440860215095</v>
      </c>
      <c r="B2">
        <v>3</v>
      </c>
      <c r="C2">
        <v>2</v>
      </c>
      <c r="D2">
        <v>13</v>
      </c>
      <c r="E2">
        <v>24</v>
      </c>
      <c r="F2">
        <v>0.64705882352941202</v>
      </c>
      <c r="G2">
        <v>0.67175572519084004</v>
      </c>
      <c r="H2">
        <v>549</v>
      </c>
    </row>
    <row r="3" spans="1:8" x14ac:dyDescent="0.3">
      <c r="A3">
        <v>0.59139784946236595</v>
      </c>
      <c r="B3">
        <v>1.25</v>
      </c>
      <c r="C3">
        <v>0.25</v>
      </c>
      <c r="D3">
        <v>17</v>
      </c>
      <c r="E3">
        <v>54</v>
      </c>
      <c r="F3">
        <v>0.69117647058823495</v>
      </c>
      <c r="G3">
        <v>0.71212121212121204</v>
      </c>
      <c r="H3">
        <v>475</v>
      </c>
    </row>
    <row r="4" spans="1:8" x14ac:dyDescent="0.3">
      <c r="A4">
        <v>0.61290322580645196</v>
      </c>
      <c r="B4">
        <v>1.5</v>
      </c>
      <c r="C4">
        <v>3</v>
      </c>
      <c r="D4">
        <v>11</v>
      </c>
      <c r="E4">
        <v>23</v>
      </c>
      <c r="F4">
        <v>0.72058823529411797</v>
      </c>
      <c r="G4">
        <v>0.73134328358209</v>
      </c>
      <c r="H4">
        <v>594</v>
      </c>
    </row>
    <row r="5" spans="1:8" x14ac:dyDescent="0.3">
      <c r="A5">
        <v>0.61290322580645196</v>
      </c>
      <c r="B5">
        <v>1.5</v>
      </c>
      <c r="C5">
        <v>0.25</v>
      </c>
      <c r="D5">
        <v>19</v>
      </c>
      <c r="E5">
        <v>33</v>
      </c>
      <c r="F5">
        <v>0.77941176470588203</v>
      </c>
      <c r="G5">
        <v>0.74647887323943696</v>
      </c>
      <c r="H5">
        <v>319</v>
      </c>
    </row>
    <row r="6" spans="1:8" x14ac:dyDescent="0.3">
      <c r="A6">
        <v>0.62365591397849496</v>
      </c>
      <c r="B6">
        <v>2</v>
      </c>
      <c r="C6">
        <v>3.25</v>
      </c>
      <c r="D6">
        <v>13</v>
      </c>
      <c r="E6">
        <v>31</v>
      </c>
      <c r="F6">
        <v>0.75</v>
      </c>
      <c r="G6">
        <v>0.74452554744525601</v>
      </c>
      <c r="H6">
        <v>865</v>
      </c>
    </row>
    <row r="7" spans="1:8" x14ac:dyDescent="0.3">
      <c r="A7">
        <v>0.62365591397849496</v>
      </c>
      <c r="B7">
        <v>3.25</v>
      </c>
      <c r="C7">
        <v>2</v>
      </c>
      <c r="D7">
        <v>11</v>
      </c>
      <c r="E7">
        <v>21</v>
      </c>
      <c r="F7">
        <v>0.69117647058823495</v>
      </c>
      <c r="G7">
        <v>0.72868217054263595</v>
      </c>
      <c r="H7">
        <v>233</v>
      </c>
    </row>
    <row r="8" spans="1:8" x14ac:dyDescent="0.3">
      <c r="A8">
        <v>0.63440860215053796</v>
      </c>
      <c r="B8">
        <v>0.25</v>
      </c>
      <c r="C8">
        <v>1.25</v>
      </c>
      <c r="D8">
        <v>19</v>
      </c>
      <c r="E8">
        <v>42</v>
      </c>
      <c r="F8">
        <v>0.70588235294117696</v>
      </c>
      <c r="G8">
        <v>0.73846153846153895</v>
      </c>
      <c r="H8">
        <v>797</v>
      </c>
    </row>
    <row r="9" spans="1:8" x14ac:dyDescent="0.3">
      <c r="A9">
        <v>0.63440860215053796</v>
      </c>
      <c r="B9">
        <v>1.25</v>
      </c>
      <c r="C9">
        <v>1.5</v>
      </c>
      <c r="D9">
        <v>12</v>
      </c>
      <c r="E9">
        <v>29</v>
      </c>
      <c r="F9">
        <v>0.77941176470588203</v>
      </c>
      <c r="G9">
        <v>0.75714285714285701</v>
      </c>
      <c r="H9">
        <v>386</v>
      </c>
    </row>
    <row r="10" spans="1:8" x14ac:dyDescent="0.3">
      <c r="A10">
        <v>0.65591397849462396</v>
      </c>
      <c r="B10">
        <v>3.5</v>
      </c>
      <c r="C10">
        <v>1.25</v>
      </c>
      <c r="D10">
        <v>16</v>
      </c>
      <c r="E10">
        <v>24</v>
      </c>
      <c r="F10">
        <v>0.82352941176470595</v>
      </c>
      <c r="G10">
        <v>0.77777777777777801</v>
      </c>
      <c r="H10">
        <v>449</v>
      </c>
    </row>
    <row r="11" spans="1:8" x14ac:dyDescent="0.3">
      <c r="A11">
        <v>0.65591397849462396</v>
      </c>
      <c r="B11">
        <v>1.5</v>
      </c>
      <c r="C11">
        <v>1.5</v>
      </c>
      <c r="D11">
        <v>12</v>
      </c>
      <c r="E11">
        <v>20</v>
      </c>
      <c r="F11">
        <v>0.80882352941176505</v>
      </c>
      <c r="G11">
        <v>0.77464788732394396</v>
      </c>
      <c r="H11">
        <v>29</v>
      </c>
    </row>
    <row r="12" spans="1:8" x14ac:dyDescent="0.3">
      <c r="A12">
        <v>0.65591397849462396</v>
      </c>
      <c r="B12">
        <v>1.25</v>
      </c>
      <c r="C12">
        <v>0.75</v>
      </c>
      <c r="D12">
        <v>17</v>
      </c>
      <c r="E12">
        <v>31</v>
      </c>
      <c r="F12">
        <v>0.83823529411764697</v>
      </c>
      <c r="G12">
        <v>0.78082191780821897</v>
      </c>
      <c r="H12">
        <v>48</v>
      </c>
    </row>
    <row r="13" spans="1:8" x14ac:dyDescent="0.3">
      <c r="A13">
        <v>0.65591397849462396</v>
      </c>
      <c r="B13">
        <v>4</v>
      </c>
      <c r="C13">
        <v>1.25</v>
      </c>
      <c r="D13">
        <v>14</v>
      </c>
      <c r="E13">
        <v>31</v>
      </c>
      <c r="F13">
        <v>0.80882352941176505</v>
      </c>
      <c r="G13">
        <v>0.77464788732394396</v>
      </c>
      <c r="H13">
        <v>355</v>
      </c>
    </row>
    <row r="14" spans="1:8" x14ac:dyDescent="0.3">
      <c r="A14">
        <v>0.65591397849462396</v>
      </c>
      <c r="B14">
        <v>1.5</v>
      </c>
      <c r="C14">
        <v>2</v>
      </c>
      <c r="D14">
        <v>12</v>
      </c>
      <c r="E14">
        <v>21</v>
      </c>
      <c r="F14">
        <v>0.86764705882352899</v>
      </c>
      <c r="G14">
        <v>0.78666666666666696</v>
      </c>
      <c r="H14">
        <v>173</v>
      </c>
    </row>
    <row r="15" spans="1:8" x14ac:dyDescent="0.3">
      <c r="A15">
        <v>0.66666666666666696</v>
      </c>
      <c r="B15">
        <v>3.75</v>
      </c>
      <c r="C15">
        <v>2.25</v>
      </c>
      <c r="D15">
        <v>17</v>
      </c>
      <c r="E15">
        <v>33</v>
      </c>
      <c r="F15">
        <v>0.76470588235294101</v>
      </c>
      <c r="G15">
        <v>0.77037037037037004</v>
      </c>
      <c r="H15">
        <v>658</v>
      </c>
    </row>
    <row r="16" spans="1:8" x14ac:dyDescent="0.3">
      <c r="A16">
        <v>0.66666666666666696</v>
      </c>
      <c r="B16">
        <v>3.25</v>
      </c>
      <c r="C16">
        <v>4</v>
      </c>
      <c r="D16">
        <v>15</v>
      </c>
      <c r="E16">
        <v>31</v>
      </c>
      <c r="F16">
        <v>0.86764705882352899</v>
      </c>
      <c r="G16">
        <v>0.79194630872483196</v>
      </c>
      <c r="H16">
        <v>468</v>
      </c>
    </row>
    <row r="17" spans="1:8" x14ac:dyDescent="0.3">
      <c r="A17">
        <v>0.66666666666666696</v>
      </c>
      <c r="B17">
        <v>2.25</v>
      </c>
      <c r="C17">
        <v>1.5</v>
      </c>
      <c r="D17">
        <v>9</v>
      </c>
      <c r="E17">
        <v>17</v>
      </c>
      <c r="F17">
        <v>0.80882352941176505</v>
      </c>
      <c r="G17">
        <v>0.780141843971631</v>
      </c>
      <c r="H17">
        <v>684</v>
      </c>
    </row>
    <row r="18" spans="1:8" x14ac:dyDescent="0.3">
      <c r="A18">
        <v>0.68817204301075297</v>
      </c>
      <c r="B18">
        <v>1.5</v>
      </c>
      <c r="C18">
        <v>3</v>
      </c>
      <c r="D18">
        <v>12</v>
      </c>
      <c r="E18">
        <v>27</v>
      </c>
      <c r="F18">
        <v>0.80882352941176505</v>
      </c>
      <c r="G18">
        <v>0.79136690647482</v>
      </c>
      <c r="H18">
        <v>297</v>
      </c>
    </row>
    <row r="19" spans="1:8" x14ac:dyDescent="0.3">
      <c r="A19">
        <v>0.68817204301075297</v>
      </c>
      <c r="B19">
        <v>0.5</v>
      </c>
      <c r="C19">
        <v>2.25</v>
      </c>
      <c r="D19">
        <v>12</v>
      </c>
      <c r="E19">
        <v>24</v>
      </c>
      <c r="F19">
        <v>0.85294117647058798</v>
      </c>
      <c r="G19">
        <v>0.8</v>
      </c>
      <c r="H19">
        <v>787</v>
      </c>
    </row>
    <row r="20" spans="1:8" x14ac:dyDescent="0.3">
      <c r="A20">
        <v>0.68817204301075297</v>
      </c>
      <c r="B20">
        <v>0.75</v>
      </c>
      <c r="C20">
        <v>1.25</v>
      </c>
      <c r="D20">
        <v>15</v>
      </c>
      <c r="E20">
        <v>37</v>
      </c>
      <c r="F20">
        <v>0.80882352941176505</v>
      </c>
      <c r="G20">
        <v>0.79136690647482</v>
      </c>
      <c r="H20">
        <v>102</v>
      </c>
    </row>
    <row r="21" spans="1:8" x14ac:dyDescent="0.3">
      <c r="A21">
        <v>0.68817204301075297</v>
      </c>
      <c r="B21">
        <v>3.25</v>
      </c>
      <c r="C21">
        <v>2.5</v>
      </c>
      <c r="D21">
        <v>14</v>
      </c>
      <c r="E21">
        <v>30</v>
      </c>
      <c r="F21">
        <v>0.80882352941176505</v>
      </c>
      <c r="G21">
        <v>0.79136690647482</v>
      </c>
      <c r="H21">
        <v>612</v>
      </c>
    </row>
    <row r="22" spans="1:8" x14ac:dyDescent="0.3">
      <c r="A22">
        <v>0.68817204301075297</v>
      </c>
      <c r="B22">
        <v>1.25</v>
      </c>
      <c r="C22">
        <v>0.25</v>
      </c>
      <c r="D22">
        <v>23</v>
      </c>
      <c r="E22">
        <v>47</v>
      </c>
      <c r="F22">
        <v>0.83823529411764697</v>
      </c>
      <c r="G22">
        <v>0.79720279720279696</v>
      </c>
      <c r="H22">
        <v>212</v>
      </c>
    </row>
    <row r="23" spans="1:8" x14ac:dyDescent="0.3">
      <c r="A23">
        <v>0.68817204301075297</v>
      </c>
      <c r="B23">
        <v>4</v>
      </c>
      <c r="C23">
        <v>0.25</v>
      </c>
      <c r="D23">
        <v>23</v>
      </c>
      <c r="E23">
        <v>47</v>
      </c>
      <c r="F23">
        <v>0.82352941176470595</v>
      </c>
      <c r="G23">
        <v>0.79432624113475203</v>
      </c>
      <c r="H23">
        <v>546</v>
      </c>
    </row>
    <row r="24" spans="1:8" x14ac:dyDescent="0.3">
      <c r="A24">
        <v>0.69892473118279597</v>
      </c>
      <c r="B24">
        <v>0.75</v>
      </c>
      <c r="C24">
        <v>2</v>
      </c>
      <c r="D24">
        <v>12</v>
      </c>
      <c r="E24">
        <v>26</v>
      </c>
      <c r="F24">
        <v>0.83823529411764697</v>
      </c>
      <c r="G24">
        <v>0.80281690140845097</v>
      </c>
      <c r="H24">
        <v>251</v>
      </c>
    </row>
    <row r="25" spans="1:8" x14ac:dyDescent="0.3">
      <c r="A25">
        <v>0.69892473118279597</v>
      </c>
      <c r="B25">
        <v>2.25</v>
      </c>
      <c r="C25">
        <v>1.5</v>
      </c>
      <c r="D25">
        <v>7</v>
      </c>
      <c r="E25">
        <v>14</v>
      </c>
      <c r="F25">
        <v>0.85294117647058798</v>
      </c>
      <c r="G25">
        <v>0.80555555555555503</v>
      </c>
      <c r="H25">
        <v>949</v>
      </c>
    </row>
    <row r="26" spans="1:8" x14ac:dyDescent="0.3">
      <c r="A26">
        <v>0.69892473118279597</v>
      </c>
      <c r="B26">
        <v>3.5</v>
      </c>
      <c r="C26">
        <v>1.25</v>
      </c>
      <c r="D26">
        <v>9</v>
      </c>
      <c r="E26">
        <v>21</v>
      </c>
      <c r="F26">
        <v>0.82352941176470595</v>
      </c>
      <c r="G26">
        <v>0.8</v>
      </c>
      <c r="H26">
        <v>67</v>
      </c>
    </row>
    <row r="27" spans="1:8" x14ac:dyDescent="0.3">
      <c r="A27">
        <v>0.69892473118279597</v>
      </c>
      <c r="B27">
        <v>0.75</v>
      </c>
      <c r="C27">
        <v>2</v>
      </c>
      <c r="D27">
        <v>13</v>
      </c>
      <c r="E27">
        <v>24</v>
      </c>
      <c r="F27">
        <v>0.85294117647058798</v>
      </c>
      <c r="G27">
        <v>0.80555555555555503</v>
      </c>
      <c r="H27">
        <v>249</v>
      </c>
    </row>
    <row r="28" spans="1:8" x14ac:dyDescent="0.3">
      <c r="A28">
        <v>0.69892473118279597</v>
      </c>
      <c r="B28">
        <v>3.5</v>
      </c>
      <c r="C28">
        <v>2.5</v>
      </c>
      <c r="D28">
        <v>15</v>
      </c>
      <c r="E28">
        <v>25</v>
      </c>
      <c r="F28">
        <v>0.86764705882352899</v>
      </c>
      <c r="G28">
        <v>0.80821917808219201</v>
      </c>
      <c r="H28">
        <v>5</v>
      </c>
    </row>
    <row r="29" spans="1:8" x14ac:dyDescent="0.3">
      <c r="A29">
        <v>0.69892473118279597</v>
      </c>
      <c r="B29">
        <v>3.75</v>
      </c>
      <c r="C29">
        <v>2.5</v>
      </c>
      <c r="D29">
        <v>10</v>
      </c>
      <c r="E29">
        <v>25</v>
      </c>
      <c r="F29">
        <v>0.83823529411764697</v>
      </c>
      <c r="G29">
        <v>0.80281690140845097</v>
      </c>
      <c r="H29">
        <v>213</v>
      </c>
    </row>
    <row r="30" spans="1:8" x14ac:dyDescent="0.3">
      <c r="A30">
        <v>0.69892473118279597</v>
      </c>
      <c r="B30">
        <v>3</v>
      </c>
      <c r="C30">
        <v>2.5</v>
      </c>
      <c r="D30">
        <v>10</v>
      </c>
      <c r="E30">
        <v>19</v>
      </c>
      <c r="F30">
        <v>0.83823529411764697</v>
      </c>
      <c r="G30">
        <v>0.80281690140845097</v>
      </c>
      <c r="H30">
        <v>908</v>
      </c>
    </row>
    <row r="31" spans="1:8" x14ac:dyDescent="0.3">
      <c r="A31">
        <v>0.69892473118279597</v>
      </c>
      <c r="B31">
        <v>3.5</v>
      </c>
      <c r="C31">
        <v>1.5</v>
      </c>
      <c r="D31">
        <v>14</v>
      </c>
      <c r="E31">
        <v>24</v>
      </c>
      <c r="F31">
        <v>0.79411764705882304</v>
      </c>
      <c r="G31">
        <v>0.79411764705882304</v>
      </c>
      <c r="H31">
        <v>95</v>
      </c>
    </row>
    <row r="32" spans="1:8" x14ac:dyDescent="0.3">
      <c r="A32">
        <v>0.69892473118279597</v>
      </c>
      <c r="B32">
        <v>0.5</v>
      </c>
      <c r="C32">
        <v>2.25</v>
      </c>
      <c r="D32">
        <v>10</v>
      </c>
      <c r="E32">
        <v>19</v>
      </c>
      <c r="F32">
        <v>0.86764705882352899</v>
      </c>
      <c r="G32">
        <v>0.80821917808219201</v>
      </c>
      <c r="H32">
        <v>62</v>
      </c>
    </row>
    <row r="33" spans="1:8" x14ac:dyDescent="0.3">
      <c r="A33">
        <v>0.70967741935483897</v>
      </c>
      <c r="B33">
        <v>3.5</v>
      </c>
      <c r="C33">
        <v>1.25</v>
      </c>
      <c r="D33">
        <v>10</v>
      </c>
      <c r="E33">
        <v>17</v>
      </c>
      <c r="F33">
        <v>0.79411764705882304</v>
      </c>
      <c r="G33">
        <v>0.8</v>
      </c>
      <c r="H33">
        <v>644</v>
      </c>
    </row>
    <row r="34" spans="1:8" x14ac:dyDescent="0.3">
      <c r="A34">
        <v>0.70967741935483897</v>
      </c>
      <c r="B34">
        <v>2.5</v>
      </c>
      <c r="C34">
        <v>1.5</v>
      </c>
      <c r="D34">
        <v>10</v>
      </c>
      <c r="E34">
        <v>19</v>
      </c>
      <c r="F34">
        <v>0.80882352941176505</v>
      </c>
      <c r="G34">
        <v>0.80291970802919699</v>
      </c>
      <c r="H34">
        <v>26</v>
      </c>
    </row>
    <row r="35" spans="1:8" x14ac:dyDescent="0.3">
      <c r="A35">
        <v>0.70967741935483897</v>
      </c>
      <c r="B35">
        <v>1.25</v>
      </c>
      <c r="C35">
        <v>2.25</v>
      </c>
      <c r="D35">
        <v>8</v>
      </c>
      <c r="E35">
        <v>13</v>
      </c>
      <c r="F35">
        <v>0.91176470588235303</v>
      </c>
      <c r="G35">
        <v>0.82119205298013198</v>
      </c>
      <c r="H35">
        <v>485</v>
      </c>
    </row>
    <row r="36" spans="1:8" x14ac:dyDescent="0.3">
      <c r="A36">
        <v>0.70967741935483897</v>
      </c>
      <c r="B36">
        <v>0.25</v>
      </c>
      <c r="C36">
        <v>3</v>
      </c>
      <c r="D36">
        <v>10</v>
      </c>
      <c r="E36">
        <v>17</v>
      </c>
      <c r="F36">
        <v>0.85294117647058798</v>
      </c>
      <c r="G36">
        <v>0.81118881118881103</v>
      </c>
      <c r="H36">
        <v>40</v>
      </c>
    </row>
    <row r="37" spans="1:8" x14ac:dyDescent="0.3">
      <c r="A37">
        <v>0.72043010752688197</v>
      </c>
      <c r="B37">
        <v>2</v>
      </c>
      <c r="C37">
        <v>2.25</v>
      </c>
      <c r="D37">
        <v>10</v>
      </c>
      <c r="E37">
        <v>23</v>
      </c>
      <c r="F37">
        <v>0.88235294117647101</v>
      </c>
      <c r="G37">
        <v>0.82191780821917804</v>
      </c>
      <c r="H37">
        <v>559</v>
      </c>
    </row>
    <row r="38" spans="1:8" x14ac:dyDescent="0.3">
      <c r="A38">
        <v>0.72043010752688197</v>
      </c>
      <c r="B38">
        <v>1.5</v>
      </c>
      <c r="C38">
        <v>2.25</v>
      </c>
      <c r="D38">
        <v>8</v>
      </c>
      <c r="E38">
        <v>14</v>
      </c>
      <c r="F38">
        <v>0.86764705882352899</v>
      </c>
      <c r="G38">
        <v>0.81944444444444398</v>
      </c>
      <c r="H38">
        <v>602</v>
      </c>
    </row>
    <row r="39" spans="1:8" x14ac:dyDescent="0.3">
      <c r="A39">
        <v>0.73118279569892497</v>
      </c>
      <c r="B39">
        <v>3.75</v>
      </c>
      <c r="C39">
        <v>2</v>
      </c>
      <c r="D39">
        <v>13</v>
      </c>
      <c r="E39">
        <v>33</v>
      </c>
      <c r="F39">
        <v>0.91176470588235303</v>
      </c>
      <c r="G39">
        <v>0.83221476510067105</v>
      </c>
      <c r="H39">
        <v>946</v>
      </c>
    </row>
    <row r="40" spans="1:8" x14ac:dyDescent="0.3">
      <c r="A40">
        <v>0.73118279569892497</v>
      </c>
      <c r="B40">
        <v>3.75</v>
      </c>
      <c r="C40">
        <v>2</v>
      </c>
      <c r="D40">
        <v>12</v>
      </c>
      <c r="E40">
        <v>25</v>
      </c>
      <c r="F40">
        <v>0.86764705882352899</v>
      </c>
      <c r="G40">
        <v>0.82517482517482499</v>
      </c>
      <c r="H40">
        <v>275</v>
      </c>
    </row>
    <row r="41" spans="1:8" x14ac:dyDescent="0.3">
      <c r="A41">
        <v>0.73118279569892497</v>
      </c>
      <c r="B41">
        <v>1.25</v>
      </c>
      <c r="C41">
        <v>2</v>
      </c>
      <c r="D41">
        <v>13</v>
      </c>
      <c r="E41">
        <v>23</v>
      </c>
      <c r="F41">
        <v>0.92647058823529405</v>
      </c>
      <c r="G41">
        <v>0.83443708609271505</v>
      </c>
      <c r="H41">
        <v>553</v>
      </c>
    </row>
    <row r="42" spans="1:8" x14ac:dyDescent="0.3">
      <c r="A42">
        <v>0.73118279569892497</v>
      </c>
      <c r="B42">
        <v>4</v>
      </c>
      <c r="C42">
        <v>1.25</v>
      </c>
      <c r="D42">
        <v>10</v>
      </c>
      <c r="E42">
        <v>22</v>
      </c>
      <c r="F42">
        <v>0.86764705882352899</v>
      </c>
      <c r="G42">
        <v>0.82517482517482499</v>
      </c>
      <c r="H42">
        <v>610</v>
      </c>
    </row>
    <row r="43" spans="1:8" x14ac:dyDescent="0.3">
      <c r="A43">
        <v>0.73118279569892497</v>
      </c>
      <c r="B43">
        <v>3.75</v>
      </c>
      <c r="C43">
        <v>2.25</v>
      </c>
      <c r="D43">
        <v>7</v>
      </c>
      <c r="E43">
        <v>17</v>
      </c>
      <c r="F43">
        <v>0.91176470588235303</v>
      </c>
      <c r="G43">
        <v>0.83221476510067105</v>
      </c>
      <c r="H43">
        <v>450</v>
      </c>
    </row>
    <row r="44" spans="1:8" x14ac:dyDescent="0.3">
      <c r="A44">
        <v>0.73118279569892497</v>
      </c>
      <c r="B44">
        <v>0.5</v>
      </c>
      <c r="C44">
        <v>2</v>
      </c>
      <c r="D44">
        <v>8</v>
      </c>
      <c r="E44">
        <v>21</v>
      </c>
      <c r="F44">
        <v>0.88235294117647101</v>
      </c>
      <c r="G44">
        <v>0.82758620689655205</v>
      </c>
      <c r="H44">
        <v>82</v>
      </c>
    </row>
    <row r="45" spans="1:8" x14ac:dyDescent="0.3">
      <c r="A45">
        <v>0.74193548387096797</v>
      </c>
      <c r="B45">
        <v>3.25</v>
      </c>
      <c r="C45">
        <v>1.25</v>
      </c>
      <c r="D45">
        <v>14</v>
      </c>
      <c r="E45">
        <v>28</v>
      </c>
      <c r="F45">
        <v>0.80882352941176505</v>
      </c>
      <c r="G45">
        <v>0.82089552238805996</v>
      </c>
      <c r="H45">
        <v>313</v>
      </c>
    </row>
    <row r="46" spans="1:8" x14ac:dyDescent="0.3">
      <c r="A46">
        <v>0.74193548387096797</v>
      </c>
      <c r="B46">
        <v>1.5</v>
      </c>
      <c r="C46">
        <v>2</v>
      </c>
      <c r="D46">
        <v>9</v>
      </c>
      <c r="E46">
        <v>18</v>
      </c>
      <c r="F46">
        <v>0.94117647058823495</v>
      </c>
      <c r="G46">
        <v>0.84210526315789502</v>
      </c>
      <c r="H46">
        <v>808</v>
      </c>
    </row>
    <row r="47" spans="1:8" x14ac:dyDescent="0.3">
      <c r="A47">
        <v>0.74193548387096797</v>
      </c>
      <c r="B47">
        <v>0.5</v>
      </c>
      <c r="C47">
        <v>3.25</v>
      </c>
      <c r="D47">
        <v>13</v>
      </c>
      <c r="E47">
        <v>25</v>
      </c>
      <c r="F47">
        <v>0.91176470588235303</v>
      </c>
      <c r="G47">
        <v>0.83783783783783805</v>
      </c>
      <c r="H47">
        <v>747</v>
      </c>
    </row>
    <row r="48" spans="1:8" x14ac:dyDescent="0.3">
      <c r="A48">
        <v>0.74193548387096797</v>
      </c>
      <c r="B48">
        <v>3</v>
      </c>
      <c r="C48">
        <v>1.5</v>
      </c>
      <c r="D48">
        <v>7</v>
      </c>
      <c r="E48">
        <v>13</v>
      </c>
      <c r="F48">
        <v>0.92647058823529405</v>
      </c>
      <c r="G48">
        <v>0.84</v>
      </c>
      <c r="H48">
        <v>822</v>
      </c>
    </row>
    <row r="49" spans="1:8" x14ac:dyDescent="0.3">
      <c r="A49">
        <v>0.75268817204301097</v>
      </c>
      <c r="B49">
        <v>0.25</v>
      </c>
      <c r="C49">
        <v>2.5</v>
      </c>
      <c r="D49">
        <v>10</v>
      </c>
      <c r="E49">
        <v>21</v>
      </c>
      <c r="F49">
        <v>0.92647058823529405</v>
      </c>
      <c r="G49">
        <v>0.84563758389261701</v>
      </c>
      <c r="H49">
        <v>417</v>
      </c>
    </row>
    <row r="50" spans="1:8" x14ac:dyDescent="0.3">
      <c r="A50">
        <v>0.75268817204301097</v>
      </c>
      <c r="B50">
        <v>2.25</v>
      </c>
      <c r="C50">
        <v>4</v>
      </c>
      <c r="D50">
        <v>10</v>
      </c>
      <c r="E50">
        <v>24</v>
      </c>
      <c r="F50">
        <v>0.95588235294117696</v>
      </c>
      <c r="G50">
        <v>0.84967320261437895</v>
      </c>
      <c r="H50">
        <v>697</v>
      </c>
    </row>
    <row r="51" spans="1:8" x14ac:dyDescent="0.3">
      <c r="A51">
        <v>0.75268817204301097</v>
      </c>
      <c r="B51">
        <v>1.5</v>
      </c>
      <c r="C51">
        <v>2</v>
      </c>
      <c r="D51">
        <v>10</v>
      </c>
      <c r="E51">
        <v>18</v>
      </c>
      <c r="F51">
        <v>0.89705882352941202</v>
      </c>
      <c r="G51">
        <v>0.84137931034482805</v>
      </c>
      <c r="H51">
        <v>141</v>
      </c>
    </row>
    <row r="52" spans="1:8" x14ac:dyDescent="0.3">
      <c r="A52">
        <v>0.75268817204301097</v>
      </c>
      <c r="B52">
        <v>2.5</v>
      </c>
      <c r="C52">
        <v>1.5</v>
      </c>
      <c r="D52">
        <v>12</v>
      </c>
      <c r="E52">
        <v>23</v>
      </c>
      <c r="F52">
        <v>0.89705882352941202</v>
      </c>
      <c r="G52">
        <v>0.84137931034482805</v>
      </c>
      <c r="H52">
        <v>421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2"/>
  <sheetViews>
    <sheetView workbookViewId="0">
      <selection activeCell="F6" sqref="F6"/>
    </sheetView>
  </sheetViews>
  <sheetFormatPr defaultColWidth="11.5546875" defaultRowHeight="14.4" x14ac:dyDescent="0.3"/>
  <cols>
    <col min="2" max="2" width="19.33203125" customWidth="1"/>
  </cols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</row>
    <row r="2" spans="1:7" x14ac:dyDescent="0.3">
      <c r="A2">
        <v>0.54838709677419395</v>
      </c>
      <c r="B2">
        <v>0.2</v>
      </c>
      <c r="C2">
        <v>19</v>
      </c>
      <c r="D2">
        <v>40</v>
      </c>
      <c r="E2">
        <v>0.70588235294117696</v>
      </c>
      <c r="F2">
        <v>0.69565217391304401</v>
      </c>
      <c r="G2">
        <v>319</v>
      </c>
    </row>
    <row r="3" spans="1:7" x14ac:dyDescent="0.3">
      <c r="A3">
        <v>0.58064516129032295</v>
      </c>
      <c r="B3">
        <v>0.6</v>
      </c>
      <c r="C3">
        <v>15</v>
      </c>
      <c r="D3">
        <v>30</v>
      </c>
      <c r="E3">
        <v>0.70588235294117696</v>
      </c>
      <c r="F3">
        <v>0.71111111111111103</v>
      </c>
      <c r="G3">
        <v>865</v>
      </c>
    </row>
    <row r="4" spans="1:7" x14ac:dyDescent="0.3">
      <c r="A4">
        <v>0.59139784946236595</v>
      </c>
      <c r="B4">
        <v>0.1</v>
      </c>
      <c r="C4">
        <v>16</v>
      </c>
      <c r="D4">
        <v>38</v>
      </c>
      <c r="E4">
        <v>0.70588235294117696</v>
      </c>
      <c r="F4">
        <v>0.71641791044776104</v>
      </c>
      <c r="G4">
        <v>417</v>
      </c>
    </row>
    <row r="5" spans="1:7" x14ac:dyDescent="0.3">
      <c r="A5">
        <v>0.59139784946236595</v>
      </c>
      <c r="B5">
        <v>0.4</v>
      </c>
      <c r="C5">
        <v>25</v>
      </c>
      <c r="D5">
        <v>46</v>
      </c>
      <c r="E5">
        <v>0.72058823529411797</v>
      </c>
      <c r="F5">
        <v>0.72058823529411797</v>
      </c>
      <c r="G5">
        <v>449</v>
      </c>
    </row>
    <row r="6" spans="1:7" x14ac:dyDescent="0.3">
      <c r="A6">
        <v>0.61290322580645196</v>
      </c>
      <c r="B6">
        <v>0.5</v>
      </c>
      <c r="C6">
        <v>16</v>
      </c>
      <c r="D6">
        <v>43</v>
      </c>
      <c r="E6">
        <v>0.80882352941176505</v>
      </c>
      <c r="F6">
        <v>0.75342465753424703</v>
      </c>
      <c r="G6">
        <v>468</v>
      </c>
    </row>
    <row r="7" spans="1:7" x14ac:dyDescent="0.3">
      <c r="A7">
        <v>0.61290322580645196</v>
      </c>
      <c r="B7">
        <v>0.3</v>
      </c>
      <c r="C7">
        <v>21</v>
      </c>
      <c r="D7">
        <v>45</v>
      </c>
      <c r="E7">
        <v>0.72058823529411797</v>
      </c>
      <c r="F7">
        <v>0.73134328358209</v>
      </c>
      <c r="G7">
        <v>386</v>
      </c>
    </row>
    <row r="8" spans="1:7" x14ac:dyDescent="0.3">
      <c r="A8">
        <v>0.61290322580645196</v>
      </c>
      <c r="B8">
        <v>0.5</v>
      </c>
      <c r="C8">
        <v>18</v>
      </c>
      <c r="D8">
        <v>39</v>
      </c>
      <c r="E8">
        <v>0.72058823529411797</v>
      </c>
      <c r="F8">
        <v>0.73134328358209</v>
      </c>
      <c r="G8">
        <v>95</v>
      </c>
    </row>
    <row r="9" spans="1:7" x14ac:dyDescent="0.3">
      <c r="A9">
        <v>0.61290322580645196</v>
      </c>
      <c r="B9">
        <v>0.4</v>
      </c>
      <c r="C9">
        <v>23</v>
      </c>
      <c r="D9">
        <v>44</v>
      </c>
      <c r="E9">
        <v>0.76470588235294101</v>
      </c>
      <c r="F9">
        <v>0.74285714285714299</v>
      </c>
      <c r="G9">
        <v>62</v>
      </c>
    </row>
    <row r="10" spans="1:7" x14ac:dyDescent="0.3">
      <c r="A10">
        <v>0.62365591397849496</v>
      </c>
      <c r="B10">
        <v>0.7</v>
      </c>
      <c r="C10">
        <v>15</v>
      </c>
      <c r="D10">
        <v>40</v>
      </c>
      <c r="E10">
        <v>0.76470588235294101</v>
      </c>
      <c r="F10">
        <v>0.74820143884892099</v>
      </c>
      <c r="G10">
        <v>658</v>
      </c>
    </row>
    <row r="11" spans="1:7" x14ac:dyDescent="0.3">
      <c r="A11">
        <v>0.62365591397849496</v>
      </c>
      <c r="B11">
        <v>0.1</v>
      </c>
      <c r="C11">
        <v>19</v>
      </c>
      <c r="D11">
        <v>34</v>
      </c>
      <c r="E11">
        <v>0.76470588235294101</v>
      </c>
      <c r="F11">
        <v>0.74820143884892099</v>
      </c>
      <c r="G11">
        <v>67</v>
      </c>
    </row>
    <row r="12" spans="1:7" x14ac:dyDescent="0.3">
      <c r="A12">
        <v>0.62365591397849496</v>
      </c>
      <c r="B12">
        <v>0.7</v>
      </c>
      <c r="C12">
        <v>16</v>
      </c>
      <c r="D12">
        <v>37</v>
      </c>
      <c r="E12">
        <v>0.76470588235294101</v>
      </c>
      <c r="F12">
        <v>0.74820143884892099</v>
      </c>
      <c r="G12">
        <v>559</v>
      </c>
    </row>
    <row r="13" spans="1:7" x14ac:dyDescent="0.3">
      <c r="A13">
        <v>0.63440860215053796</v>
      </c>
      <c r="B13">
        <v>0.8</v>
      </c>
      <c r="C13">
        <v>20</v>
      </c>
      <c r="D13">
        <v>43</v>
      </c>
      <c r="E13">
        <v>0.79411764705882304</v>
      </c>
      <c r="F13">
        <v>0.76056338028169002</v>
      </c>
      <c r="G13">
        <v>946</v>
      </c>
    </row>
    <row r="14" spans="1:7" x14ac:dyDescent="0.3">
      <c r="A14">
        <v>0.63440860215053796</v>
      </c>
      <c r="B14">
        <v>0.2</v>
      </c>
      <c r="C14">
        <v>25</v>
      </c>
      <c r="D14">
        <v>47</v>
      </c>
      <c r="E14">
        <v>0.72058823529411797</v>
      </c>
      <c r="F14">
        <v>0.74242424242424199</v>
      </c>
      <c r="G14">
        <v>251</v>
      </c>
    </row>
    <row r="15" spans="1:7" x14ac:dyDescent="0.3">
      <c r="A15">
        <v>0.63440860215053796</v>
      </c>
      <c r="B15">
        <v>0.1</v>
      </c>
      <c r="C15">
        <v>17</v>
      </c>
      <c r="D15">
        <v>37</v>
      </c>
      <c r="E15">
        <v>0.75</v>
      </c>
      <c r="F15">
        <v>0.75</v>
      </c>
      <c r="G15">
        <v>594</v>
      </c>
    </row>
    <row r="16" spans="1:7" x14ac:dyDescent="0.3">
      <c r="A16">
        <v>0.63440860215053796</v>
      </c>
      <c r="B16">
        <v>0.1</v>
      </c>
      <c r="C16">
        <v>19</v>
      </c>
      <c r="D16">
        <v>40</v>
      </c>
      <c r="E16">
        <v>0.77941176470588203</v>
      </c>
      <c r="F16">
        <v>0.75714285714285701</v>
      </c>
      <c r="G16">
        <v>102</v>
      </c>
    </row>
    <row r="17" spans="1:7" x14ac:dyDescent="0.3">
      <c r="A17">
        <v>0.63440860215053796</v>
      </c>
      <c r="B17">
        <v>0.6</v>
      </c>
      <c r="C17">
        <v>20</v>
      </c>
      <c r="D17">
        <v>42</v>
      </c>
      <c r="E17">
        <v>0.75</v>
      </c>
      <c r="F17">
        <v>0.75</v>
      </c>
      <c r="G17">
        <v>602</v>
      </c>
    </row>
    <row r="18" spans="1:7" x14ac:dyDescent="0.3">
      <c r="A18">
        <v>0.63440860215053796</v>
      </c>
      <c r="B18">
        <v>0.6</v>
      </c>
      <c r="C18">
        <v>19</v>
      </c>
      <c r="D18">
        <v>42</v>
      </c>
      <c r="E18">
        <v>0.70588235294117696</v>
      </c>
      <c r="F18">
        <v>0.73846153846153895</v>
      </c>
      <c r="G18">
        <v>797</v>
      </c>
    </row>
    <row r="19" spans="1:7" x14ac:dyDescent="0.3">
      <c r="A19">
        <v>0.63440860215053796</v>
      </c>
      <c r="B19">
        <v>0.9</v>
      </c>
      <c r="C19">
        <v>16</v>
      </c>
      <c r="D19">
        <v>38</v>
      </c>
      <c r="E19">
        <v>0.77941176470588203</v>
      </c>
      <c r="F19">
        <v>0.75714285714285701</v>
      </c>
      <c r="G19">
        <v>684</v>
      </c>
    </row>
    <row r="20" spans="1:7" x14ac:dyDescent="0.3">
      <c r="A20">
        <v>0.63440860215053796</v>
      </c>
      <c r="B20">
        <v>0.8</v>
      </c>
      <c r="C20">
        <v>24</v>
      </c>
      <c r="D20">
        <v>41</v>
      </c>
      <c r="E20">
        <v>0.79411764705882304</v>
      </c>
      <c r="F20">
        <v>0.76056338028169002</v>
      </c>
      <c r="G20">
        <v>48</v>
      </c>
    </row>
    <row r="21" spans="1:7" x14ac:dyDescent="0.3">
      <c r="A21">
        <v>0.63440860215053796</v>
      </c>
      <c r="B21">
        <v>0.8</v>
      </c>
      <c r="C21">
        <v>19</v>
      </c>
      <c r="D21">
        <v>45</v>
      </c>
      <c r="E21">
        <v>0.77941176470588203</v>
      </c>
      <c r="F21">
        <v>0.75714285714285701</v>
      </c>
      <c r="G21">
        <v>485</v>
      </c>
    </row>
    <row r="22" spans="1:7" x14ac:dyDescent="0.3">
      <c r="A22">
        <v>0.64516129032258096</v>
      </c>
      <c r="B22">
        <v>0.4</v>
      </c>
      <c r="C22">
        <v>18</v>
      </c>
      <c r="D22">
        <v>40</v>
      </c>
      <c r="E22">
        <v>0.85294117647058798</v>
      </c>
      <c r="F22">
        <v>0.778523489932886</v>
      </c>
      <c r="G22">
        <v>808</v>
      </c>
    </row>
    <row r="23" spans="1:7" x14ac:dyDescent="0.3">
      <c r="A23">
        <v>0.64516129032258096</v>
      </c>
      <c r="B23">
        <v>0.4</v>
      </c>
      <c r="C23">
        <v>25</v>
      </c>
      <c r="D23">
        <v>47</v>
      </c>
      <c r="E23">
        <v>0.73529411764705899</v>
      </c>
      <c r="F23">
        <v>0.75187969924812004</v>
      </c>
      <c r="G23">
        <v>29</v>
      </c>
    </row>
    <row r="24" spans="1:7" x14ac:dyDescent="0.3">
      <c r="A24">
        <v>0.64516129032258096</v>
      </c>
      <c r="B24">
        <v>0.1</v>
      </c>
      <c r="C24">
        <v>23</v>
      </c>
      <c r="D24">
        <v>43</v>
      </c>
      <c r="E24">
        <v>0.76470588235294101</v>
      </c>
      <c r="F24">
        <v>0.75912408759124095</v>
      </c>
      <c r="G24">
        <v>40</v>
      </c>
    </row>
    <row r="25" spans="1:7" x14ac:dyDescent="0.3">
      <c r="A25">
        <v>0.65591397849462396</v>
      </c>
      <c r="B25">
        <v>0.6</v>
      </c>
      <c r="C25">
        <v>16</v>
      </c>
      <c r="D25">
        <v>38</v>
      </c>
      <c r="E25">
        <v>0.82352941176470595</v>
      </c>
      <c r="F25">
        <v>0.77777777777777801</v>
      </c>
      <c r="G25">
        <v>549</v>
      </c>
    </row>
    <row r="26" spans="1:7" x14ac:dyDescent="0.3">
      <c r="A26">
        <v>0.65591397849462396</v>
      </c>
      <c r="B26">
        <v>0.7</v>
      </c>
      <c r="C26">
        <v>15</v>
      </c>
      <c r="D26">
        <v>38</v>
      </c>
      <c r="E26">
        <v>0.73529411764705899</v>
      </c>
      <c r="F26">
        <v>0.75757575757575801</v>
      </c>
      <c r="G26">
        <v>275</v>
      </c>
    </row>
    <row r="27" spans="1:7" x14ac:dyDescent="0.3">
      <c r="A27">
        <v>0.65591397849462396</v>
      </c>
      <c r="B27">
        <v>0.3</v>
      </c>
      <c r="C27">
        <v>24</v>
      </c>
      <c r="D27">
        <v>43</v>
      </c>
      <c r="E27">
        <v>0.73529411764705899</v>
      </c>
      <c r="F27">
        <v>0.75757575757575801</v>
      </c>
      <c r="G27">
        <v>213</v>
      </c>
    </row>
    <row r="28" spans="1:7" x14ac:dyDescent="0.3">
      <c r="A28">
        <v>0.65591397849462396</v>
      </c>
      <c r="B28">
        <v>0.9</v>
      </c>
      <c r="C28">
        <v>13</v>
      </c>
      <c r="D28">
        <v>43</v>
      </c>
      <c r="E28">
        <v>0.77941176470588203</v>
      </c>
      <c r="F28">
        <v>0.76811594202898603</v>
      </c>
      <c r="G28">
        <v>450</v>
      </c>
    </row>
    <row r="29" spans="1:7" x14ac:dyDescent="0.3">
      <c r="A29">
        <v>0.65591397849462396</v>
      </c>
      <c r="B29">
        <v>0.9</v>
      </c>
      <c r="C29">
        <v>19</v>
      </c>
      <c r="D29">
        <v>41</v>
      </c>
      <c r="E29">
        <v>0.77941176470588203</v>
      </c>
      <c r="F29">
        <v>0.76811594202898603</v>
      </c>
      <c r="G29">
        <v>233</v>
      </c>
    </row>
    <row r="30" spans="1:7" x14ac:dyDescent="0.3">
      <c r="A30">
        <v>0.65591397849462396</v>
      </c>
      <c r="B30">
        <v>0.3</v>
      </c>
      <c r="C30">
        <v>12</v>
      </c>
      <c r="D30">
        <v>34</v>
      </c>
      <c r="E30">
        <v>0.79411764705882304</v>
      </c>
      <c r="F30">
        <v>0.77142857142857102</v>
      </c>
      <c r="G30">
        <v>822</v>
      </c>
    </row>
    <row r="31" spans="1:7" x14ac:dyDescent="0.3">
      <c r="A31">
        <v>0.65591397849462396</v>
      </c>
      <c r="B31">
        <v>0.7</v>
      </c>
      <c r="C31">
        <v>17</v>
      </c>
      <c r="D31">
        <v>37</v>
      </c>
      <c r="E31">
        <v>0.77941176470588203</v>
      </c>
      <c r="F31">
        <v>0.76811594202898603</v>
      </c>
      <c r="G31">
        <v>612</v>
      </c>
    </row>
    <row r="32" spans="1:7" x14ac:dyDescent="0.3">
      <c r="A32">
        <v>0.65591397849462396</v>
      </c>
      <c r="B32">
        <v>0.1</v>
      </c>
      <c r="C32">
        <v>13</v>
      </c>
      <c r="D32">
        <v>25</v>
      </c>
      <c r="E32">
        <v>0.80882352941176505</v>
      </c>
      <c r="F32">
        <v>0.77464788732394396</v>
      </c>
      <c r="G32">
        <v>475</v>
      </c>
    </row>
    <row r="33" spans="1:7" x14ac:dyDescent="0.3">
      <c r="A33">
        <v>0.66666666666666696</v>
      </c>
      <c r="B33">
        <v>0.6</v>
      </c>
      <c r="C33">
        <v>20</v>
      </c>
      <c r="D33">
        <v>46</v>
      </c>
      <c r="E33">
        <v>0.77941176470588203</v>
      </c>
      <c r="F33">
        <v>0.773722627737226</v>
      </c>
      <c r="G33">
        <v>949</v>
      </c>
    </row>
    <row r="34" spans="1:7" x14ac:dyDescent="0.3">
      <c r="A34">
        <v>0.66666666666666696</v>
      </c>
      <c r="B34">
        <v>0.5</v>
      </c>
      <c r="C34">
        <v>22</v>
      </c>
      <c r="D34">
        <v>46</v>
      </c>
      <c r="E34">
        <v>0.77941176470588203</v>
      </c>
      <c r="F34">
        <v>0.773722627737226</v>
      </c>
      <c r="G34">
        <v>313</v>
      </c>
    </row>
    <row r="35" spans="1:7" x14ac:dyDescent="0.3">
      <c r="A35">
        <v>0.66666666666666696</v>
      </c>
      <c r="B35">
        <v>0.1</v>
      </c>
      <c r="C35">
        <v>16</v>
      </c>
      <c r="D35">
        <v>37</v>
      </c>
      <c r="E35">
        <v>0.77941176470588203</v>
      </c>
      <c r="F35">
        <v>0.773722627737226</v>
      </c>
      <c r="G35">
        <v>787</v>
      </c>
    </row>
    <row r="36" spans="1:7" x14ac:dyDescent="0.3">
      <c r="A36">
        <v>0.66666666666666696</v>
      </c>
      <c r="B36">
        <v>0.1</v>
      </c>
      <c r="C36">
        <v>17</v>
      </c>
      <c r="D36">
        <v>31</v>
      </c>
      <c r="E36">
        <v>0.83823529411764697</v>
      </c>
      <c r="F36">
        <v>0.78620689655172404</v>
      </c>
      <c r="G36">
        <v>212</v>
      </c>
    </row>
    <row r="37" spans="1:7" x14ac:dyDescent="0.3">
      <c r="A37">
        <v>0.67741935483870996</v>
      </c>
      <c r="B37">
        <v>0.3</v>
      </c>
      <c r="C37">
        <v>19</v>
      </c>
      <c r="D37">
        <v>41</v>
      </c>
      <c r="E37">
        <v>0.85294117647058798</v>
      </c>
      <c r="F37">
        <v>0.79452054794520499</v>
      </c>
      <c r="G37">
        <v>553</v>
      </c>
    </row>
    <row r="38" spans="1:7" x14ac:dyDescent="0.3">
      <c r="A38">
        <v>0.67741935483870996</v>
      </c>
      <c r="B38">
        <v>0.1</v>
      </c>
      <c r="C38">
        <v>21</v>
      </c>
      <c r="D38">
        <v>40</v>
      </c>
      <c r="E38">
        <v>0.80882352941176505</v>
      </c>
      <c r="F38">
        <v>0.78571428571428603</v>
      </c>
      <c r="G38">
        <v>249</v>
      </c>
    </row>
    <row r="39" spans="1:7" x14ac:dyDescent="0.3">
      <c r="A39">
        <v>0.67741935483870996</v>
      </c>
      <c r="B39">
        <v>0.6</v>
      </c>
      <c r="C39">
        <v>24</v>
      </c>
      <c r="D39">
        <v>42</v>
      </c>
      <c r="E39">
        <v>0.86764705882352899</v>
      </c>
      <c r="F39">
        <v>0.79729729729729704</v>
      </c>
      <c r="G39">
        <v>610</v>
      </c>
    </row>
    <row r="40" spans="1:7" x14ac:dyDescent="0.3">
      <c r="A40">
        <v>0.68817204301075297</v>
      </c>
      <c r="B40">
        <v>0.9</v>
      </c>
      <c r="C40">
        <v>14</v>
      </c>
      <c r="D40">
        <v>36</v>
      </c>
      <c r="E40">
        <v>0.77941176470588203</v>
      </c>
      <c r="F40">
        <v>0.78518518518518499</v>
      </c>
      <c r="G40">
        <v>644</v>
      </c>
    </row>
    <row r="41" spans="1:7" x14ac:dyDescent="0.3">
      <c r="A41">
        <v>0.68817204301075297</v>
      </c>
      <c r="B41">
        <v>0.2</v>
      </c>
      <c r="C41">
        <v>15</v>
      </c>
      <c r="D41">
        <v>34</v>
      </c>
      <c r="E41">
        <v>0.80882352941176505</v>
      </c>
      <c r="F41">
        <v>0.79136690647482</v>
      </c>
      <c r="G41">
        <v>355</v>
      </c>
    </row>
    <row r="42" spans="1:7" x14ac:dyDescent="0.3">
      <c r="A42">
        <v>0.69892473118279597</v>
      </c>
      <c r="B42">
        <v>0.5</v>
      </c>
      <c r="C42">
        <v>17</v>
      </c>
      <c r="D42">
        <v>39</v>
      </c>
      <c r="E42">
        <v>0.83823529411764697</v>
      </c>
      <c r="F42">
        <v>0.80281690140845097</v>
      </c>
      <c r="G42">
        <v>82</v>
      </c>
    </row>
    <row r="43" spans="1:7" x14ac:dyDescent="0.3">
      <c r="A43">
        <v>0.69892473118279597</v>
      </c>
      <c r="B43">
        <v>0.7</v>
      </c>
      <c r="C43">
        <v>21</v>
      </c>
      <c r="D43">
        <v>48</v>
      </c>
      <c r="E43">
        <v>0.82352941176470595</v>
      </c>
      <c r="F43">
        <v>0.8</v>
      </c>
      <c r="G43">
        <v>546</v>
      </c>
    </row>
    <row r="44" spans="1:7" x14ac:dyDescent="0.3">
      <c r="A44">
        <v>0.72043010752688197</v>
      </c>
      <c r="B44">
        <v>0.6</v>
      </c>
      <c r="C44">
        <v>26</v>
      </c>
      <c r="D44">
        <v>47</v>
      </c>
      <c r="E44">
        <v>0.82352941176470595</v>
      </c>
      <c r="F44">
        <v>0.811594202898551</v>
      </c>
      <c r="G44">
        <v>26</v>
      </c>
    </row>
    <row r="45" spans="1:7" x14ac:dyDescent="0.3">
      <c r="A45">
        <v>0.72043010752688197</v>
      </c>
      <c r="B45">
        <v>0.4</v>
      </c>
      <c r="C45">
        <v>20</v>
      </c>
      <c r="D45">
        <v>37</v>
      </c>
      <c r="E45">
        <v>0.88235294117647101</v>
      </c>
      <c r="F45">
        <v>0.82191780821917804</v>
      </c>
      <c r="G45">
        <v>5</v>
      </c>
    </row>
    <row r="46" spans="1:7" x14ac:dyDescent="0.3">
      <c r="A46">
        <v>0.72043010752688197</v>
      </c>
      <c r="B46">
        <v>0.4</v>
      </c>
      <c r="C46">
        <v>14</v>
      </c>
      <c r="D46">
        <v>33</v>
      </c>
      <c r="E46">
        <v>0.89705882352941202</v>
      </c>
      <c r="F46">
        <v>0.82432432432432401</v>
      </c>
      <c r="G46">
        <v>747</v>
      </c>
    </row>
    <row r="47" spans="1:7" x14ac:dyDescent="0.3">
      <c r="A47">
        <v>0.72043010752688197</v>
      </c>
      <c r="B47">
        <v>0.2</v>
      </c>
      <c r="C47">
        <v>14</v>
      </c>
      <c r="D47">
        <v>40</v>
      </c>
      <c r="E47">
        <v>0.83823529411764697</v>
      </c>
      <c r="F47">
        <v>0.81428571428571395</v>
      </c>
      <c r="G47">
        <v>141</v>
      </c>
    </row>
    <row r="48" spans="1:7" x14ac:dyDescent="0.3">
      <c r="A48">
        <v>0.73118279569892497</v>
      </c>
      <c r="B48">
        <v>0.2</v>
      </c>
      <c r="C48">
        <v>21</v>
      </c>
      <c r="D48">
        <v>47</v>
      </c>
      <c r="E48">
        <v>0.82352941176470595</v>
      </c>
      <c r="F48">
        <v>0.81751824817518204</v>
      </c>
      <c r="G48">
        <v>297</v>
      </c>
    </row>
    <row r="49" spans="1:7" x14ac:dyDescent="0.3">
      <c r="A49">
        <v>0.74193548387096797</v>
      </c>
      <c r="B49">
        <v>0.5</v>
      </c>
      <c r="C49">
        <v>24</v>
      </c>
      <c r="D49">
        <v>43</v>
      </c>
      <c r="E49">
        <v>0.89705882352941202</v>
      </c>
      <c r="F49">
        <v>0.83561643835616395</v>
      </c>
      <c r="G49">
        <v>908</v>
      </c>
    </row>
    <row r="50" spans="1:7" x14ac:dyDescent="0.3">
      <c r="A50">
        <v>0.75268817204301097</v>
      </c>
      <c r="B50">
        <v>0.9</v>
      </c>
      <c r="C50">
        <v>17</v>
      </c>
      <c r="D50">
        <v>43</v>
      </c>
      <c r="E50">
        <v>0.89705882352941202</v>
      </c>
      <c r="F50">
        <v>0.84137931034482805</v>
      </c>
      <c r="G50">
        <v>697</v>
      </c>
    </row>
    <row r="51" spans="1:7" x14ac:dyDescent="0.3">
      <c r="A51">
        <v>0.75268817204301097</v>
      </c>
      <c r="B51">
        <v>0.5</v>
      </c>
      <c r="C51">
        <v>19</v>
      </c>
      <c r="D51">
        <v>40</v>
      </c>
      <c r="E51">
        <v>0.89705882352941202</v>
      </c>
      <c r="F51">
        <v>0.84137931034482805</v>
      </c>
      <c r="G51">
        <v>421</v>
      </c>
    </row>
    <row r="52" spans="1:7" x14ac:dyDescent="0.3">
      <c r="A52">
        <v>0.75268817204301097</v>
      </c>
      <c r="B52">
        <v>0.1</v>
      </c>
      <c r="C52">
        <v>19</v>
      </c>
      <c r="D52">
        <v>42</v>
      </c>
      <c r="E52">
        <v>0.91176470588235303</v>
      </c>
      <c r="F52">
        <v>0.843537414965986</v>
      </c>
      <c r="G52">
        <v>173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2"/>
  <sheetViews>
    <sheetView workbookViewId="0">
      <selection sqref="A1:A52"/>
    </sheetView>
  </sheetViews>
  <sheetFormatPr defaultColWidth="11.5546875" defaultRowHeight="14.4" x14ac:dyDescent="0.3"/>
  <sheetData>
    <row r="1" spans="1:1" x14ac:dyDescent="0.3">
      <c r="A1" t="s">
        <v>8</v>
      </c>
    </row>
    <row r="2" spans="1:1" x14ac:dyDescent="0.3">
      <c r="A2">
        <v>946</v>
      </c>
    </row>
    <row r="3" spans="1:1" x14ac:dyDescent="0.3">
      <c r="A3">
        <v>549</v>
      </c>
    </row>
    <row r="4" spans="1:1" x14ac:dyDescent="0.3">
      <c r="A4">
        <v>644</v>
      </c>
    </row>
    <row r="5" spans="1:1" x14ac:dyDescent="0.3">
      <c r="A5">
        <v>251</v>
      </c>
    </row>
    <row r="6" spans="1:1" x14ac:dyDescent="0.3">
      <c r="A6">
        <v>275</v>
      </c>
    </row>
    <row r="7" spans="1:1" x14ac:dyDescent="0.3">
      <c r="A7">
        <v>865</v>
      </c>
    </row>
    <row r="8" spans="1:1" x14ac:dyDescent="0.3">
      <c r="A8">
        <v>553</v>
      </c>
    </row>
    <row r="9" spans="1:1" x14ac:dyDescent="0.3">
      <c r="A9">
        <v>417</v>
      </c>
    </row>
    <row r="10" spans="1:1" x14ac:dyDescent="0.3">
      <c r="A10">
        <v>297</v>
      </c>
    </row>
    <row r="11" spans="1:1" x14ac:dyDescent="0.3">
      <c r="A11">
        <v>949</v>
      </c>
    </row>
    <row r="12" spans="1:1" x14ac:dyDescent="0.3">
      <c r="A12">
        <v>658</v>
      </c>
    </row>
    <row r="13" spans="1:1" x14ac:dyDescent="0.3">
      <c r="A13">
        <v>594</v>
      </c>
    </row>
    <row r="14" spans="1:1" x14ac:dyDescent="0.3">
      <c r="A14">
        <v>449</v>
      </c>
    </row>
    <row r="15" spans="1:1" x14ac:dyDescent="0.3">
      <c r="A15">
        <v>313</v>
      </c>
    </row>
    <row r="16" spans="1:1" x14ac:dyDescent="0.3">
      <c r="A16">
        <v>787</v>
      </c>
    </row>
    <row r="17" spans="1:1" x14ac:dyDescent="0.3">
      <c r="A17">
        <v>67</v>
      </c>
    </row>
    <row r="18" spans="1:1" x14ac:dyDescent="0.3">
      <c r="A18">
        <v>249</v>
      </c>
    </row>
    <row r="19" spans="1:1" x14ac:dyDescent="0.3">
      <c r="A19">
        <v>26</v>
      </c>
    </row>
    <row r="20" spans="1:1" x14ac:dyDescent="0.3">
      <c r="A20">
        <v>697</v>
      </c>
    </row>
    <row r="21" spans="1:1" x14ac:dyDescent="0.3">
      <c r="A21">
        <v>5</v>
      </c>
    </row>
    <row r="22" spans="1:1" x14ac:dyDescent="0.3">
      <c r="A22">
        <v>559</v>
      </c>
    </row>
    <row r="23" spans="1:1" x14ac:dyDescent="0.3">
      <c r="A23">
        <v>808</v>
      </c>
    </row>
    <row r="24" spans="1:1" x14ac:dyDescent="0.3">
      <c r="A24">
        <v>102</v>
      </c>
    </row>
    <row r="25" spans="1:1" x14ac:dyDescent="0.3">
      <c r="A25">
        <v>468</v>
      </c>
    </row>
    <row r="26" spans="1:1" x14ac:dyDescent="0.3">
      <c r="A26">
        <v>602</v>
      </c>
    </row>
    <row r="27" spans="1:1" x14ac:dyDescent="0.3">
      <c r="A27">
        <v>29</v>
      </c>
    </row>
    <row r="28" spans="1:1" x14ac:dyDescent="0.3">
      <c r="A28">
        <v>797</v>
      </c>
    </row>
    <row r="29" spans="1:1" x14ac:dyDescent="0.3">
      <c r="A29">
        <v>386</v>
      </c>
    </row>
    <row r="30" spans="1:1" x14ac:dyDescent="0.3">
      <c r="A30">
        <v>684</v>
      </c>
    </row>
    <row r="31" spans="1:1" x14ac:dyDescent="0.3">
      <c r="A31">
        <v>213</v>
      </c>
    </row>
    <row r="32" spans="1:1" x14ac:dyDescent="0.3">
      <c r="A32">
        <v>48</v>
      </c>
    </row>
    <row r="33" spans="1:1" x14ac:dyDescent="0.3">
      <c r="A33">
        <v>610</v>
      </c>
    </row>
    <row r="34" spans="1:1" x14ac:dyDescent="0.3">
      <c r="A34">
        <v>908</v>
      </c>
    </row>
    <row r="35" spans="1:1" x14ac:dyDescent="0.3">
      <c r="A35">
        <v>450</v>
      </c>
    </row>
    <row r="36" spans="1:1" x14ac:dyDescent="0.3">
      <c r="A36">
        <v>233</v>
      </c>
    </row>
    <row r="37" spans="1:1" x14ac:dyDescent="0.3">
      <c r="A37">
        <v>319</v>
      </c>
    </row>
    <row r="38" spans="1:1" x14ac:dyDescent="0.3">
      <c r="A38">
        <v>95</v>
      </c>
    </row>
    <row r="39" spans="1:1" x14ac:dyDescent="0.3">
      <c r="A39">
        <v>485</v>
      </c>
    </row>
    <row r="40" spans="1:1" x14ac:dyDescent="0.3">
      <c r="A40">
        <v>355</v>
      </c>
    </row>
    <row r="41" spans="1:1" x14ac:dyDescent="0.3">
      <c r="A41">
        <v>747</v>
      </c>
    </row>
    <row r="42" spans="1:1" x14ac:dyDescent="0.3">
      <c r="A42">
        <v>141</v>
      </c>
    </row>
    <row r="43" spans="1:1" x14ac:dyDescent="0.3">
      <c r="A43">
        <v>822</v>
      </c>
    </row>
    <row r="44" spans="1:1" x14ac:dyDescent="0.3">
      <c r="A44">
        <v>62</v>
      </c>
    </row>
    <row r="45" spans="1:1" x14ac:dyDescent="0.3">
      <c r="A45">
        <v>421</v>
      </c>
    </row>
    <row r="46" spans="1:1" x14ac:dyDescent="0.3">
      <c r="A46">
        <v>82</v>
      </c>
    </row>
    <row r="47" spans="1:1" x14ac:dyDescent="0.3">
      <c r="A47">
        <v>612</v>
      </c>
    </row>
    <row r="48" spans="1:1" x14ac:dyDescent="0.3">
      <c r="A48">
        <v>475</v>
      </c>
    </row>
    <row r="49" spans="1:1" x14ac:dyDescent="0.3">
      <c r="A49">
        <v>173</v>
      </c>
    </row>
    <row r="50" spans="1:1" x14ac:dyDescent="0.3">
      <c r="A50">
        <v>212</v>
      </c>
    </row>
    <row r="51" spans="1:1" x14ac:dyDescent="0.3">
      <c r="A51">
        <v>546</v>
      </c>
    </row>
    <row r="52" spans="1:1" x14ac:dyDescent="0.3">
      <c r="A52">
        <v>40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F970-E486-4527-94DD-78525DB78E00}">
  <dimension ref="A1:P52"/>
  <sheetViews>
    <sheetView topLeftCell="A4" workbookViewId="0">
      <selection activeCell="N33" sqref="N33"/>
    </sheetView>
  </sheetViews>
  <sheetFormatPr defaultRowHeight="14.4" x14ac:dyDescent="0.3"/>
  <cols>
    <col min="1" max="1" width="10.44140625" customWidth="1"/>
    <col min="3" max="3" width="15" customWidth="1"/>
    <col min="5" max="5" width="15.6640625" customWidth="1"/>
    <col min="7" max="7" width="11.88671875" customWidth="1"/>
    <col min="12" max="12" width="13.33203125" customWidth="1"/>
    <col min="14" max="14" width="15.21875" customWidth="1"/>
    <col min="16" max="16" width="10.33203125" customWidth="1"/>
  </cols>
  <sheetData>
    <row r="1" spans="1:7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3">
      <c r="A2">
        <v>0.64516129032258096</v>
      </c>
      <c r="B2">
        <v>0.74193548387096797</v>
      </c>
      <c r="C2">
        <v>0.73118279569892497</v>
      </c>
      <c r="D2">
        <v>0.70967741935483897</v>
      </c>
      <c r="E2">
        <v>0.65591397849462396</v>
      </c>
      <c r="F2">
        <v>0.73118279569892497</v>
      </c>
      <c r="G2">
        <v>0.63440860215053796</v>
      </c>
    </row>
    <row r="3" spans="1:7" x14ac:dyDescent="0.3">
      <c r="A3">
        <v>0.65591397849462396</v>
      </c>
      <c r="B3">
        <v>0.65591397849462396</v>
      </c>
      <c r="C3">
        <v>0.53763440860215095</v>
      </c>
      <c r="D3">
        <v>0.65591397849462396</v>
      </c>
      <c r="E3">
        <v>0.65591397849462396</v>
      </c>
      <c r="F3">
        <v>0.53763440860215095</v>
      </c>
      <c r="G3">
        <v>0.65591397849462396</v>
      </c>
    </row>
    <row r="4" spans="1:7" x14ac:dyDescent="0.3">
      <c r="A4">
        <v>0.67741935483870996</v>
      </c>
      <c r="B4">
        <v>0.70967741935483897</v>
      </c>
      <c r="C4">
        <v>0.70967741935483897</v>
      </c>
      <c r="D4">
        <v>0.66666666666666696</v>
      </c>
      <c r="E4">
        <v>0.64516129032258096</v>
      </c>
      <c r="F4">
        <v>0.70967741935483897</v>
      </c>
      <c r="G4">
        <v>0.68817204301075297</v>
      </c>
    </row>
    <row r="5" spans="1:7" x14ac:dyDescent="0.3">
      <c r="A5">
        <v>0.63440860215053796</v>
      </c>
      <c r="B5">
        <v>0.69892473118279597</v>
      </c>
      <c r="C5">
        <v>0.66666666666666696</v>
      </c>
      <c r="D5">
        <v>0.61290322580645196</v>
      </c>
      <c r="E5">
        <v>0.67741935483870996</v>
      </c>
      <c r="F5">
        <v>0.69892473118279597</v>
      </c>
      <c r="G5">
        <v>0.63440860215053796</v>
      </c>
    </row>
    <row r="6" spans="1:7" x14ac:dyDescent="0.3">
      <c r="A6">
        <v>0.65591397849462396</v>
      </c>
      <c r="B6">
        <v>0.68817204301075297</v>
      </c>
      <c r="C6">
        <v>0.66666666666666696</v>
      </c>
      <c r="D6">
        <v>0.65591397849462396</v>
      </c>
      <c r="E6">
        <v>0.75268817204301097</v>
      </c>
      <c r="F6">
        <v>0.73118279569892497</v>
      </c>
      <c r="G6">
        <v>0.65591397849462396</v>
      </c>
    </row>
    <row r="7" spans="1:7" x14ac:dyDescent="0.3">
      <c r="A7">
        <v>0.58064516129032295</v>
      </c>
      <c r="B7">
        <v>0.60215053763440896</v>
      </c>
      <c r="C7">
        <v>0.64516129032258096</v>
      </c>
      <c r="D7">
        <v>0.55913978494623695</v>
      </c>
      <c r="E7">
        <v>0.65591397849462396</v>
      </c>
      <c r="F7">
        <v>0.62365591397849496</v>
      </c>
      <c r="G7">
        <v>0.58064516129032295</v>
      </c>
    </row>
    <row r="8" spans="1:7" x14ac:dyDescent="0.3">
      <c r="A8">
        <v>0.67741935483870996</v>
      </c>
      <c r="B8">
        <v>0.68817204301075297</v>
      </c>
      <c r="C8">
        <v>0.68817204301075297</v>
      </c>
      <c r="D8">
        <v>0.69892473118279597</v>
      </c>
      <c r="E8">
        <v>0.70967741935483897</v>
      </c>
      <c r="F8">
        <v>0.73118279569892497</v>
      </c>
      <c r="G8">
        <v>0.67741935483870996</v>
      </c>
    </row>
    <row r="9" spans="1:7" x14ac:dyDescent="0.3">
      <c r="A9">
        <v>0.59139784946236595</v>
      </c>
      <c r="B9">
        <v>0.75268817204301097</v>
      </c>
      <c r="C9">
        <v>0.75268817204301097</v>
      </c>
      <c r="D9">
        <v>0.60215053763440896</v>
      </c>
      <c r="E9">
        <v>0.65591397849462396</v>
      </c>
      <c r="F9">
        <v>0.75268817204301097</v>
      </c>
      <c r="G9">
        <v>0.59139784946236595</v>
      </c>
    </row>
    <row r="10" spans="1:7" x14ac:dyDescent="0.3">
      <c r="A10">
        <v>0.73118279569892497</v>
      </c>
      <c r="B10">
        <v>0.77419354838709697</v>
      </c>
      <c r="C10">
        <v>0.73118279569892497</v>
      </c>
      <c r="D10">
        <v>0.74193548387096797</v>
      </c>
      <c r="E10">
        <v>0.72043010752688197</v>
      </c>
      <c r="F10">
        <v>0.68817204301075297</v>
      </c>
      <c r="G10">
        <v>0.73118279569892497</v>
      </c>
    </row>
    <row r="11" spans="1:7" x14ac:dyDescent="0.3">
      <c r="A11">
        <v>0.66666666666666696</v>
      </c>
      <c r="B11">
        <v>0.69892473118279597</v>
      </c>
      <c r="C11">
        <v>0.69892473118279597</v>
      </c>
      <c r="D11">
        <v>0.65591397849462396</v>
      </c>
      <c r="E11">
        <v>0.67741935483870996</v>
      </c>
      <c r="F11">
        <v>0.69892473118279597</v>
      </c>
      <c r="G11">
        <v>0.66666666666666696</v>
      </c>
    </row>
    <row r="12" spans="1:7" x14ac:dyDescent="0.3">
      <c r="A12">
        <v>0.63440860215053796</v>
      </c>
      <c r="B12">
        <v>0.65591397849462396</v>
      </c>
      <c r="C12">
        <v>0.65591397849462396</v>
      </c>
      <c r="D12">
        <v>0.66666666666666696</v>
      </c>
      <c r="E12">
        <v>0.68817204301075297</v>
      </c>
      <c r="F12">
        <v>0.66666666666666696</v>
      </c>
      <c r="G12">
        <v>0.62365591397849496</v>
      </c>
    </row>
    <row r="13" spans="1:7" x14ac:dyDescent="0.3">
      <c r="A13">
        <v>0.63440860215053796</v>
      </c>
      <c r="B13">
        <v>0.64516129032258096</v>
      </c>
      <c r="C13">
        <v>0.67741935483870996</v>
      </c>
      <c r="D13">
        <v>0.60215053763440896</v>
      </c>
      <c r="E13">
        <v>0.60215053763440896</v>
      </c>
      <c r="F13">
        <v>0.61290322580645196</v>
      </c>
      <c r="G13">
        <v>0.63440860215053796</v>
      </c>
    </row>
    <row r="14" spans="1:7" x14ac:dyDescent="0.3">
      <c r="A14">
        <v>0.60215053763440896</v>
      </c>
      <c r="B14">
        <v>0.64516129032258096</v>
      </c>
      <c r="C14">
        <v>0.62365591397849496</v>
      </c>
      <c r="D14">
        <v>0.62365591397849496</v>
      </c>
      <c r="E14">
        <v>0.67741935483870996</v>
      </c>
      <c r="F14">
        <v>0.65591397849462396</v>
      </c>
      <c r="G14">
        <v>0.59139784946236595</v>
      </c>
    </row>
    <row r="15" spans="1:7" x14ac:dyDescent="0.3">
      <c r="A15">
        <v>0.66666666666666696</v>
      </c>
      <c r="B15">
        <v>0.76344086021505397</v>
      </c>
      <c r="C15">
        <v>0.76344086021505397</v>
      </c>
      <c r="D15">
        <v>0.66666666666666696</v>
      </c>
      <c r="E15">
        <v>0.72043010752688197</v>
      </c>
      <c r="F15">
        <v>0.74193548387096797</v>
      </c>
      <c r="G15">
        <v>0.66666666666666696</v>
      </c>
    </row>
    <row r="16" spans="1:7" x14ac:dyDescent="0.3">
      <c r="A16">
        <v>0.66666666666666696</v>
      </c>
      <c r="B16">
        <v>0.68817204301075297</v>
      </c>
      <c r="C16">
        <v>0.68817204301075297</v>
      </c>
      <c r="D16">
        <v>0.65591397849462396</v>
      </c>
      <c r="E16">
        <v>0.68817204301075297</v>
      </c>
      <c r="F16">
        <v>0.68817204301075297</v>
      </c>
      <c r="G16">
        <v>0.66666666666666696</v>
      </c>
    </row>
    <row r="17" spans="1:16" x14ac:dyDescent="0.3">
      <c r="A17">
        <v>0.62365591397849496</v>
      </c>
      <c r="B17">
        <v>0.69892473118279597</v>
      </c>
      <c r="C17">
        <v>0.69892473118279597</v>
      </c>
      <c r="D17">
        <v>0.67741935483870996</v>
      </c>
      <c r="E17">
        <v>0.67741935483870996</v>
      </c>
      <c r="F17">
        <v>0.69892473118279597</v>
      </c>
      <c r="G17">
        <v>0.62365591397849496</v>
      </c>
    </row>
    <row r="18" spans="1:16" x14ac:dyDescent="0.3">
      <c r="A18">
        <v>0.67741935483870996</v>
      </c>
      <c r="B18">
        <v>0.70967741935483897</v>
      </c>
      <c r="C18">
        <v>0.70967741935483897</v>
      </c>
      <c r="D18">
        <v>0.67741935483870996</v>
      </c>
      <c r="E18">
        <v>0.64516129032258096</v>
      </c>
      <c r="F18">
        <v>0.69892473118279597</v>
      </c>
      <c r="G18">
        <v>0.67741935483870996</v>
      </c>
    </row>
    <row r="19" spans="1:16" x14ac:dyDescent="0.3">
      <c r="A19">
        <v>0.73118279569892497</v>
      </c>
      <c r="B19">
        <v>0.70967741935483897</v>
      </c>
      <c r="C19">
        <v>0.70967741935483897</v>
      </c>
      <c r="D19">
        <v>0.74193548387096797</v>
      </c>
      <c r="E19">
        <v>0.72043010752688197</v>
      </c>
      <c r="F19">
        <v>0.70967741935483897</v>
      </c>
      <c r="G19">
        <v>0.72043010752688197</v>
      </c>
    </row>
    <row r="20" spans="1:16" x14ac:dyDescent="0.3">
      <c r="A20">
        <v>0.75268817204301097</v>
      </c>
      <c r="B20">
        <v>0.77419354838709697</v>
      </c>
      <c r="C20">
        <v>0.73118279569892497</v>
      </c>
      <c r="D20">
        <v>0.75268817204301097</v>
      </c>
      <c r="E20">
        <v>0.75268817204301097</v>
      </c>
      <c r="F20">
        <v>0.75268817204301097</v>
      </c>
      <c r="G20">
        <v>0.75268817204301097</v>
      </c>
    </row>
    <row r="21" spans="1:16" x14ac:dyDescent="0.3">
      <c r="A21">
        <v>0.73118279569892497</v>
      </c>
      <c r="B21">
        <v>0.76344086021505397</v>
      </c>
      <c r="C21">
        <v>0.75268817204301097</v>
      </c>
      <c r="D21">
        <v>0.75268817204301097</v>
      </c>
      <c r="E21">
        <v>0.75268817204301097</v>
      </c>
      <c r="F21">
        <v>0.69892473118279597</v>
      </c>
      <c r="G21">
        <v>0.72043010752688197</v>
      </c>
      <c r="I21" s="4"/>
      <c r="J21" s="3" t="s">
        <v>16</v>
      </c>
      <c r="K21" s="3"/>
      <c r="L21" s="3"/>
      <c r="M21" s="3"/>
      <c r="N21" s="3"/>
      <c r="O21" s="3"/>
      <c r="P21" s="3"/>
    </row>
    <row r="22" spans="1:16" x14ac:dyDescent="0.3">
      <c r="A22">
        <v>0.65591397849462396</v>
      </c>
      <c r="B22">
        <v>0.67741935483870996</v>
      </c>
      <c r="C22">
        <v>0.72043010752688197</v>
      </c>
      <c r="D22">
        <v>0.63440860215053796</v>
      </c>
      <c r="E22">
        <v>0.66666666666666696</v>
      </c>
      <c r="F22">
        <v>0.72043010752688197</v>
      </c>
      <c r="G22">
        <v>0.62365591397849496</v>
      </c>
      <c r="I22" s="4"/>
      <c r="J22" s="2" t="s">
        <v>9</v>
      </c>
      <c r="K22" s="2" t="s">
        <v>10</v>
      </c>
      <c r="L22" s="2" t="s">
        <v>11</v>
      </c>
      <c r="M22" s="2" t="s">
        <v>12</v>
      </c>
      <c r="N22" s="2" t="s">
        <v>13</v>
      </c>
      <c r="O22" s="2" t="s">
        <v>14</v>
      </c>
      <c r="P22" s="2" t="s">
        <v>15</v>
      </c>
    </row>
    <row r="23" spans="1:16" x14ac:dyDescent="0.3">
      <c r="A23">
        <v>0.70967741935483897</v>
      </c>
      <c r="B23">
        <v>0.75268817204301097</v>
      </c>
      <c r="C23">
        <v>0.64516129032258096</v>
      </c>
      <c r="D23">
        <v>0.67741935483870996</v>
      </c>
      <c r="E23">
        <v>0.64516129032258096</v>
      </c>
      <c r="F23">
        <v>0.74193548387096797</v>
      </c>
      <c r="G23">
        <v>0.64516129032258096</v>
      </c>
      <c r="I23" s="2" t="s">
        <v>17</v>
      </c>
      <c r="J23" s="1">
        <f>AVERAGE(Table2[depth])</f>
        <v>17.686274509803923</v>
      </c>
      <c r="K23" s="1">
        <f>AVERAGE(Table3[depth])</f>
        <v>11.803921568627452</v>
      </c>
      <c r="L23" s="1">
        <f>AVERAGE(Table4[depth])</f>
        <v>12.03921568627451</v>
      </c>
      <c r="M23" s="1">
        <f>AVERAGE(Table5[depth])</f>
        <v>15.921568627450981</v>
      </c>
      <c r="N23" s="1">
        <f>AVERAGE(Table6[depth])</f>
        <v>18.294117647058822</v>
      </c>
      <c r="O23" s="1">
        <f>AVERAGE(Table7[depth])</f>
        <v>12.352941176470589</v>
      </c>
      <c r="P23" s="1">
        <f>AVERAGE(Table8[depth])</f>
        <v>18.764705882352942</v>
      </c>
    </row>
    <row r="24" spans="1:16" x14ac:dyDescent="0.3">
      <c r="A24">
        <v>0.63440860215053796</v>
      </c>
      <c r="B24">
        <v>0.67741935483870996</v>
      </c>
      <c r="C24">
        <v>0.68817204301075297</v>
      </c>
      <c r="D24">
        <v>0.68817204301075297</v>
      </c>
      <c r="E24">
        <v>0.67741935483870996</v>
      </c>
      <c r="F24">
        <v>0.68817204301075297</v>
      </c>
      <c r="G24">
        <v>0.63440860215053796</v>
      </c>
      <c r="I24" s="2" t="s">
        <v>18</v>
      </c>
      <c r="J24" s="1">
        <f>_xlfn.STDEV.S(Table2[depth])</f>
        <v>3.5804479947539019</v>
      </c>
      <c r="K24" s="1">
        <f>_xlfn.STDEV.S(Table3[depth])</f>
        <v>2.9530974101315199</v>
      </c>
      <c r="L24" s="1">
        <f>_xlfn.STDEV.S(Table4[depth])</f>
        <v>2.5531218875230026</v>
      </c>
      <c r="M24" s="1">
        <f>_xlfn.STDEV.S(Table5[depth])</f>
        <v>3.4283706757286447</v>
      </c>
      <c r="N24" s="1">
        <f>_xlfn.STDEV.S(Table6[depth])</f>
        <v>2.7949534353692509</v>
      </c>
      <c r="O24" s="1">
        <f>_xlfn.STDEV.S(Table7[depth])</f>
        <v>3.6596367547163196</v>
      </c>
      <c r="P24" s="1">
        <f>_xlfn.STDEV.S(Table8[depth])</f>
        <v>3.6088127426848686</v>
      </c>
    </row>
    <row r="25" spans="1:16" x14ac:dyDescent="0.3">
      <c r="A25">
        <v>0.65591397849462396</v>
      </c>
      <c r="B25">
        <v>0.70967741935483897</v>
      </c>
      <c r="C25">
        <v>0.67741935483870996</v>
      </c>
      <c r="D25">
        <v>0.58064516129032295</v>
      </c>
      <c r="E25">
        <v>0.68817204301075297</v>
      </c>
      <c r="F25">
        <v>0.66666666666666696</v>
      </c>
      <c r="G25">
        <v>0.61290322580645196</v>
      </c>
    </row>
    <row r="26" spans="1:16" x14ac:dyDescent="0.3">
      <c r="A26">
        <v>0.63440860215053796</v>
      </c>
      <c r="B26">
        <v>0.73118279569892497</v>
      </c>
      <c r="C26">
        <v>0.72043010752688197</v>
      </c>
      <c r="D26">
        <v>0.63440860215053796</v>
      </c>
      <c r="E26">
        <v>0.66666666666666696</v>
      </c>
      <c r="F26">
        <v>0.72043010752688197</v>
      </c>
      <c r="G26">
        <v>0.63440860215053796</v>
      </c>
      <c r="I26" s="4"/>
      <c r="J26" s="3" t="s">
        <v>19</v>
      </c>
      <c r="K26" s="3"/>
      <c r="L26" s="3"/>
      <c r="M26" s="3"/>
      <c r="N26" s="3"/>
      <c r="O26" s="3"/>
      <c r="P26" s="3"/>
    </row>
    <row r="27" spans="1:16" x14ac:dyDescent="0.3">
      <c r="A27">
        <v>0.66666666666666696</v>
      </c>
      <c r="B27">
        <v>0.66666666666666696</v>
      </c>
      <c r="C27">
        <v>0.66666666666666696</v>
      </c>
      <c r="D27">
        <v>0.69892473118279597</v>
      </c>
      <c r="E27">
        <v>0.64516129032258096</v>
      </c>
      <c r="F27">
        <v>0.65591397849462396</v>
      </c>
      <c r="G27">
        <v>0.64516129032258096</v>
      </c>
      <c r="I27" s="4"/>
      <c r="J27" s="2" t="s">
        <v>9</v>
      </c>
      <c r="K27" s="2" t="s">
        <v>10</v>
      </c>
      <c r="L27" s="2" t="s">
        <v>11</v>
      </c>
      <c r="M27" s="2" t="s">
        <v>12</v>
      </c>
      <c r="N27" s="2" t="s">
        <v>13</v>
      </c>
      <c r="O27" s="2" t="s">
        <v>14</v>
      </c>
      <c r="P27" s="2" t="s">
        <v>15</v>
      </c>
    </row>
    <row r="28" spans="1:16" x14ac:dyDescent="0.3">
      <c r="A28">
        <v>0.62365591397849496</v>
      </c>
      <c r="B28">
        <v>0.63440860215053796</v>
      </c>
      <c r="C28">
        <v>0.62365591397849496</v>
      </c>
      <c r="D28">
        <v>0.63440860215053796</v>
      </c>
      <c r="E28">
        <v>0.69892473118279597</v>
      </c>
      <c r="F28">
        <v>0.63440860215053796</v>
      </c>
      <c r="G28">
        <v>0.63440860215053796</v>
      </c>
      <c r="I28" s="2" t="s">
        <v>17</v>
      </c>
      <c r="J28" s="1">
        <f>AVERAGE(Table2[leaves])</f>
        <v>38.450980392156865</v>
      </c>
      <c r="K28" s="1">
        <f>AVERAGE(Table3[leaves])</f>
        <v>25.333333333333332</v>
      </c>
      <c r="L28" s="1">
        <f>AVERAGE(Table4[leaves])</f>
        <v>25.490196078431371</v>
      </c>
      <c r="M28" s="1">
        <f>AVERAGE(Table5[leaves])</f>
        <v>35.96078431372549</v>
      </c>
      <c r="N28" s="1">
        <f>AVERAGE(Table6[leaves])</f>
        <v>39.294117647058826</v>
      </c>
      <c r="O28" s="1">
        <f>AVERAGE(Table7[leaves])</f>
        <v>25.254901960784313</v>
      </c>
      <c r="P28" s="1">
        <f>AVERAGE(Table8[leaves])</f>
        <v>40.235294117647058</v>
      </c>
    </row>
    <row r="29" spans="1:16" x14ac:dyDescent="0.3">
      <c r="A29">
        <v>0.61290322580645196</v>
      </c>
      <c r="B29">
        <v>0.64516129032258096</v>
      </c>
      <c r="C29">
        <v>0.63440860215053796</v>
      </c>
      <c r="D29">
        <v>0.61290322580645196</v>
      </c>
      <c r="E29">
        <v>0.65591397849462396</v>
      </c>
      <c r="F29">
        <v>0.63440860215053796</v>
      </c>
      <c r="G29">
        <v>0.61290322580645196</v>
      </c>
      <c r="I29" s="2" t="s">
        <v>18</v>
      </c>
      <c r="J29" s="1">
        <f>_xlfn.STDEV.S(Table2[leaves])</f>
        <v>4.7426310229247051</v>
      </c>
      <c r="K29" s="1">
        <f>_xlfn.STDEV.S(Table3[leaves])</f>
        <v>6.6803193536437044</v>
      </c>
      <c r="L29" s="1">
        <f>_xlfn.STDEV.S(Table4[leaves])</f>
        <v>6.6041579297276298</v>
      </c>
      <c r="M29" s="1">
        <f>_xlfn.STDEV.S(Table5[leaves])</f>
        <v>5.653178873213645</v>
      </c>
      <c r="N29" s="1">
        <f>_xlfn.STDEV.S(Table6[leaves])</f>
        <v>5.3377677643264168</v>
      </c>
      <c r="O29" s="1">
        <f>_xlfn.STDEV.S(Table7[leaves])</f>
        <v>8.6691248399245051</v>
      </c>
      <c r="P29" s="1">
        <f>_xlfn.STDEV.S(Table8[leaves])</f>
        <v>4.8066130915401084</v>
      </c>
    </row>
    <row r="30" spans="1:16" x14ac:dyDescent="0.3">
      <c r="A30">
        <v>0.62365591397849496</v>
      </c>
      <c r="B30">
        <v>0.65591397849462396</v>
      </c>
      <c r="C30">
        <v>0.65591397849462396</v>
      </c>
      <c r="D30">
        <v>0.63440860215053796</v>
      </c>
      <c r="E30">
        <v>0.65591397849462396</v>
      </c>
      <c r="F30">
        <v>0.66666666666666696</v>
      </c>
      <c r="G30">
        <v>0.63440860215053796</v>
      </c>
    </row>
    <row r="31" spans="1:16" x14ac:dyDescent="0.3">
      <c r="A31">
        <v>0.65591397849462396</v>
      </c>
      <c r="B31">
        <v>0.66666666666666696</v>
      </c>
      <c r="C31">
        <v>0.66666666666666696</v>
      </c>
      <c r="D31">
        <v>0.67741935483870996</v>
      </c>
      <c r="E31">
        <v>0.67741935483870996</v>
      </c>
      <c r="F31">
        <v>0.69892473118279597</v>
      </c>
      <c r="G31">
        <v>0.65591397849462396</v>
      </c>
    </row>
    <row r="32" spans="1:16" x14ac:dyDescent="0.3">
      <c r="A32">
        <v>0.68817204301075297</v>
      </c>
      <c r="B32">
        <v>0.65591397849462396</v>
      </c>
      <c r="C32">
        <v>0.70967741935483897</v>
      </c>
      <c r="D32">
        <v>0.62365591397849496</v>
      </c>
      <c r="E32">
        <v>0.63440860215053796</v>
      </c>
      <c r="F32">
        <v>0.65591397849462396</v>
      </c>
      <c r="G32">
        <v>0.63440860215053796</v>
      </c>
    </row>
    <row r="33" spans="1:7" x14ac:dyDescent="0.3">
      <c r="A33">
        <v>0.68817204301075297</v>
      </c>
      <c r="B33">
        <v>0.76344086021505397</v>
      </c>
      <c r="C33">
        <v>0.73118279569892497</v>
      </c>
      <c r="D33">
        <v>0.69892473118279597</v>
      </c>
      <c r="E33">
        <v>0.67741935483870996</v>
      </c>
      <c r="F33">
        <v>0.73118279569892497</v>
      </c>
      <c r="G33">
        <v>0.67741935483870996</v>
      </c>
    </row>
    <row r="34" spans="1:7" x14ac:dyDescent="0.3">
      <c r="A34">
        <v>0.73118279569892497</v>
      </c>
      <c r="B34">
        <v>0.73118279569892497</v>
      </c>
      <c r="C34">
        <v>0.68817204301075297</v>
      </c>
      <c r="D34">
        <v>0.73118279569892497</v>
      </c>
      <c r="E34">
        <v>0.72043010752688197</v>
      </c>
      <c r="F34">
        <v>0.69892473118279597</v>
      </c>
      <c r="G34">
        <v>0.74193548387096797</v>
      </c>
    </row>
    <row r="35" spans="1:7" x14ac:dyDescent="0.3">
      <c r="A35">
        <v>0.64516129032258096</v>
      </c>
      <c r="B35">
        <v>0.73118279569892497</v>
      </c>
      <c r="C35">
        <v>0.73118279569892497</v>
      </c>
      <c r="D35">
        <v>0.63440860215053796</v>
      </c>
      <c r="E35">
        <v>0.65591397849462396</v>
      </c>
      <c r="F35">
        <v>0.73118279569892497</v>
      </c>
      <c r="G35">
        <v>0.65591397849462396</v>
      </c>
    </row>
    <row r="36" spans="1:7" x14ac:dyDescent="0.3">
      <c r="A36">
        <v>0.62365591397849496</v>
      </c>
      <c r="B36">
        <v>0.68817204301075297</v>
      </c>
      <c r="C36">
        <v>0.63440860215053796</v>
      </c>
      <c r="D36">
        <v>0.65591397849462396</v>
      </c>
      <c r="E36">
        <v>0.65591397849462396</v>
      </c>
      <c r="F36">
        <v>0.62365591397849496</v>
      </c>
      <c r="G36">
        <v>0.65591397849462396</v>
      </c>
    </row>
    <row r="37" spans="1:7" x14ac:dyDescent="0.3">
      <c r="A37">
        <v>0.53763440860215095</v>
      </c>
      <c r="B37">
        <v>0.56989247311827995</v>
      </c>
      <c r="C37">
        <v>0.60215053763440896</v>
      </c>
      <c r="D37">
        <v>0.53763440860215095</v>
      </c>
      <c r="E37">
        <v>0.63440860215053796</v>
      </c>
      <c r="F37">
        <v>0.61290322580645196</v>
      </c>
      <c r="G37">
        <v>0.54838709677419395</v>
      </c>
    </row>
    <row r="38" spans="1:7" x14ac:dyDescent="0.3">
      <c r="A38">
        <v>0.62365591397849496</v>
      </c>
      <c r="B38">
        <v>0.64516129032258096</v>
      </c>
      <c r="C38">
        <v>0.69892473118279597</v>
      </c>
      <c r="D38">
        <v>0.62365591397849496</v>
      </c>
      <c r="E38">
        <v>0.62365591397849496</v>
      </c>
      <c r="F38">
        <v>0.69892473118279597</v>
      </c>
      <c r="G38">
        <v>0.61290322580645196</v>
      </c>
    </row>
    <row r="39" spans="1:7" x14ac:dyDescent="0.3">
      <c r="A39">
        <v>0.62365591397849496</v>
      </c>
      <c r="B39">
        <v>0.70967741935483897</v>
      </c>
      <c r="C39">
        <v>0.70967741935483897</v>
      </c>
      <c r="D39">
        <v>0.64516129032258096</v>
      </c>
      <c r="E39">
        <v>0.63440860215053796</v>
      </c>
      <c r="F39">
        <v>0.70967741935483897</v>
      </c>
      <c r="G39">
        <v>0.63440860215053796</v>
      </c>
    </row>
    <row r="40" spans="1:7" x14ac:dyDescent="0.3">
      <c r="A40">
        <v>0.68817204301075297</v>
      </c>
      <c r="B40">
        <v>0.70967741935483897</v>
      </c>
      <c r="C40">
        <v>0.69892473118279597</v>
      </c>
      <c r="D40">
        <v>0.65591397849462396</v>
      </c>
      <c r="E40">
        <v>0.68817204301075297</v>
      </c>
      <c r="F40">
        <v>0.65591397849462396</v>
      </c>
      <c r="G40">
        <v>0.68817204301075297</v>
      </c>
    </row>
    <row r="41" spans="1:7" x14ac:dyDescent="0.3">
      <c r="A41">
        <v>0.74193548387096797</v>
      </c>
      <c r="B41">
        <v>0.74193548387096797</v>
      </c>
      <c r="C41">
        <v>0.74193548387096797</v>
      </c>
      <c r="D41">
        <v>0.73118279569892497</v>
      </c>
      <c r="E41">
        <v>0.70967741935483897</v>
      </c>
      <c r="F41">
        <v>0.74193548387096797</v>
      </c>
      <c r="G41">
        <v>0.72043010752688197</v>
      </c>
    </row>
    <row r="42" spans="1:7" x14ac:dyDescent="0.3">
      <c r="A42">
        <v>0.69892473118279597</v>
      </c>
      <c r="B42">
        <v>0.72043010752688197</v>
      </c>
      <c r="C42">
        <v>0.68817204301075297</v>
      </c>
      <c r="D42">
        <v>0.66666666666666696</v>
      </c>
      <c r="E42">
        <v>0.69892473118279597</v>
      </c>
      <c r="F42">
        <v>0.75268817204301097</v>
      </c>
      <c r="G42">
        <v>0.72043010752688197</v>
      </c>
    </row>
    <row r="43" spans="1:7" x14ac:dyDescent="0.3">
      <c r="A43">
        <v>0.65591397849462396</v>
      </c>
      <c r="B43">
        <v>0.72043010752688197</v>
      </c>
      <c r="C43">
        <v>0.72043010752688197</v>
      </c>
      <c r="D43">
        <v>0.66666666666666696</v>
      </c>
      <c r="E43">
        <v>0.69892473118279597</v>
      </c>
      <c r="F43">
        <v>0.74193548387096797</v>
      </c>
      <c r="G43">
        <v>0.65591397849462396</v>
      </c>
    </row>
    <row r="44" spans="1:7" x14ac:dyDescent="0.3">
      <c r="A44">
        <v>0.61290322580645196</v>
      </c>
      <c r="B44">
        <v>0.65591397849462396</v>
      </c>
      <c r="C44">
        <v>0.64516129032258096</v>
      </c>
      <c r="D44">
        <v>0.64516129032258096</v>
      </c>
      <c r="E44">
        <v>0.64516129032258096</v>
      </c>
      <c r="F44">
        <v>0.69892473118279597</v>
      </c>
      <c r="G44">
        <v>0.61290322580645196</v>
      </c>
    </row>
    <row r="45" spans="1:7" x14ac:dyDescent="0.3">
      <c r="A45">
        <v>0.75268817204301097</v>
      </c>
      <c r="B45">
        <v>0.75268817204301097</v>
      </c>
      <c r="C45">
        <v>0.75268817204301097</v>
      </c>
      <c r="D45">
        <v>0.76344086021505397</v>
      </c>
      <c r="E45">
        <v>0.78494623655913998</v>
      </c>
      <c r="F45">
        <v>0.75268817204301097</v>
      </c>
      <c r="G45">
        <v>0.75268817204301097</v>
      </c>
    </row>
    <row r="46" spans="1:7" x14ac:dyDescent="0.3">
      <c r="A46">
        <v>0.73118279569892497</v>
      </c>
      <c r="B46">
        <v>0.72043010752688197</v>
      </c>
      <c r="C46">
        <v>0.72043010752688197</v>
      </c>
      <c r="D46">
        <v>0.67741935483870996</v>
      </c>
      <c r="E46">
        <v>0.68817204301075297</v>
      </c>
      <c r="F46">
        <v>0.73118279569892497</v>
      </c>
      <c r="G46">
        <v>0.69892473118279597</v>
      </c>
    </row>
    <row r="47" spans="1:7" x14ac:dyDescent="0.3">
      <c r="A47">
        <v>0.72043010752688197</v>
      </c>
      <c r="B47">
        <v>0.70967741935483897</v>
      </c>
      <c r="C47">
        <v>0.74193548387096797</v>
      </c>
      <c r="D47">
        <v>0.74193548387096797</v>
      </c>
      <c r="E47">
        <v>0.74193548387096797</v>
      </c>
      <c r="F47">
        <v>0.68817204301075297</v>
      </c>
      <c r="G47">
        <v>0.65591397849462396</v>
      </c>
    </row>
    <row r="48" spans="1:7" x14ac:dyDescent="0.3">
      <c r="A48">
        <v>0.65591397849462396</v>
      </c>
      <c r="B48">
        <v>0.65591397849462396</v>
      </c>
      <c r="C48">
        <v>0.64516129032258096</v>
      </c>
      <c r="D48">
        <v>0.65591397849462396</v>
      </c>
      <c r="E48">
        <v>0.66666666666666696</v>
      </c>
      <c r="F48">
        <v>0.59139784946236595</v>
      </c>
      <c r="G48">
        <v>0.65591397849462396</v>
      </c>
    </row>
    <row r="49" spans="1:7" x14ac:dyDescent="0.3">
      <c r="A49">
        <v>0.75268817204301097</v>
      </c>
      <c r="B49">
        <v>0.68817204301075297</v>
      </c>
      <c r="C49">
        <v>0.69892473118279597</v>
      </c>
      <c r="D49">
        <v>0.79569892473118298</v>
      </c>
      <c r="E49">
        <v>0.73118279569892497</v>
      </c>
      <c r="F49">
        <v>0.65591397849462396</v>
      </c>
      <c r="G49">
        <v>0.75268817204301097</v>
      </c>
    </row>
    <row r="50" spans="1:7" x14ac:dyDescent="0.3">
      <c r="A50">
        <v>0.66666666666666696</v>
      </c>
      <c r="B50">
        <v>0.69892473118279597</v>
      </c>
      <c r="C50">
        <v>0.67741935483870996</v>
      </c>
      <c r="D50">
        <v>0.66666666666666696</v>
      </c>
      <c r="E50">
        <v>0.70967741935483897</v>
      </c>
      <c r="F50">
        <v>0.68817204301075297</v>
      </c>
      <c r="G50">
        <v>0.66666666666666696</v>
      </c>
    </row>
    <row r="51" spans="1:7" x14ac:dyDescent="0.3">
      <c r="A51">
        <v>0.68817204301075297</v>
      </c>
      <c r="B51">
        <v>0.65591397849462396</v>
      </c>
      <c r="C51">
        <v>0.70967741935483897</v>
      </c>
      <c r="D51">
        <v>0.64516129032258096</v>
      </c>
      <c r="E51">
        <v>0.74193548387096797</v>
      </c>
      <c r="F51">
        <v>0.68817204301075297</v>
      </c>
      <c r="G51">
        <v>0.69892473118279597</v>
      </c>
    </row>
    <row r="52" spans="1:7" x14ac:dyDescent="0.3">
      <c r="A52">
        <v>0.64516129032258096</v>
      </c>
      <c r="B52">
        <v>0.68817204301075297</v>
      </c>
      <c r="C52">
        <v>0.65591397849462396</v>
      </c>
      <c r="D52">
        <v>0.64516129032258096</v>
      </c>
      <c r="E52">
        <v>0.72043010752688197</v>
      </c>
      <c r="F52">
        <v>0.70967741935483897</v>
      </c>
      <c r="G52">
        <v>0.64516129032258096</v>
      </c>
    </row>
  </sheetData>
  <mergeCells count="4">
    <mergeCell ref="J21:P21"/>
    <mergeCell ref="I21:I22"/>
    <mergeCell ref="I26:I27"/>
    <mergeCell ref="J26:P26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Shannon</vt:lpstr>
      <vt:lpstr>Renyi</vt:lpstr>
      <vt:lpstr>Sharma_Mittal</vt:lpstr>
      <vt:lpstr>Tsallis</vt:lpstr>
      <vt:lpstr>Sharma_Taneja</vt:lpstr>
      <vt:lpstr>Kapur</vt:lpstr>
      <vt:lpstr>Kaniadakis</vt:lpstr>
      <vt:lpstr>index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Αλέξανδρος Κορολής</cp:lastModifiedBy>
  <dcterms:created xsi:type="dcterms:W3CDTF">2025-11-25T03:50:11Z</dcterms:created>
  <dcterms:modified xsi:type="dcterms:W3CDTF">2025-12-07T13:02:02Z</dcterms:modified>
</cp:coreProperties>
</file>